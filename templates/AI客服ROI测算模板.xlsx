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使用说明" sheetId="1" state="visible" r:id="rId1"/>
    <sheet name="1-输入参数" sheetId="2" state="visible" r:id="rId2"/>
    <sheet name="2-现状基线" sheetId="3" state="visible" r:id="rId3"/>
    <sheet name="3-AI改造后测算" sheetId="4" state="visible" r:id="rId4"/>
    <sheet name="4-分场景收益" sheetId="5" state="visible" r:id="rId5"/>
    <sheet name="5-三年现金流ROI" sheetId="6" state="visible" r:id="rId6"/>
    <sheet name="6-敏感性分析" sheetId="7" state="visible" r:id="rId7"/>
    <sheet name="7-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¥&quot;#,##0.00"/>
    <numFmt numFmtId="165" formatCode="&quot;¥&quot;#,##0"/>
    <numFmt numFmtId="166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2"/>
    </font>
    <font>
      <name val="微软雅黑"/>
      <b val="1"/>
      <color rgb="001F4E78"/>
      <sz val="12"/>
    </font>
    <font>
      <name val="微软雅黑"/>
      <sz val="11"/>
    </font>
    <font>
      <name val="微软雅黑"/>
      <b val="1"/>
      <sz val="11"/>
    </font>
    <font>
      <name val="微软雅黑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0" fontId="5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 wrapText="1"/>
    </xf>
    <xf numFmtId="164" fontId="5" fillId="7" borderId="1" applyAlignment="1" pivotButton="0" quotePrefix="0" xfId="0">
      <alignment horizontal="right" vertical="center" wrapText="1"/>
    </xf>
    <xf numFmtId="10" fontId="5" fillId="7" borderId="1" applyAlignment="1" pivotButton="0" quotePrefix="0" xfId="0">
      <alignment horizontal="right" vertical="center" wrapText="1"/>
    </xf>
    <xf numFmtId="3" fontId="5" fillId="7" borderId="1" applyAlignment="1" pivotButton="0" quotePrefix="0" xfId="0">
      <alignment horizontal="right" vertical="center" wrapText="1"/>
    </xf>
    <xf numFmtId="165" fontId="5" fillId="7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8" borderId="1" applyAlignment="1" pivotButton="0" quotePrefix="0" xfId="0">
      <alignment horizontal="right" vertical="center" wrapText="1"/>
    </xf>
    <xf numFmtId="10" fontId="5" fillId="8" borderId="1" applyAlignment="1" pivotButton="0" quotePrefix="0" xfId="0">
      <alignment horizontal="right" vertical="center" wrapText="1"/>
    </xf>
    <xf numFmtId="1" fontId="5" fillId="7" borderId="1" applyAlignment="1" pivotButton="0" quotePrefix="0" xfId="0">
      <alignment horizontal="right" vertical="center" wrapText="1"/>
    </xf>
    <xf numFmtId="0" fontId="5" fillId="8" borderId="1" pivotButton="0" quotePrefix="0" xfId="0"/>
    <xf numFmtId="0" fontId="0" fillId="8" borderId="1" pivotButton="0" quotePrefix="0" xfId="0"/>
    <xf numFmtId="0" fontId="2" fillId="3" borderId="0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right" vertical="center" wrapText="1"/>
    </xf>
    <xf numFmtId="2" fontId="2" fillId="3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left" vertical="center" wrapText="1"/>
    </xf>
    <xf numFmtId="164" fontId="5" fillId="8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60" customWidth="1" min="3" max="3"/>
  </cols>
  <sheetData>
    <row r="1" ht="32" customHeight="1">
      <c r="A1" s="1" t="inlineStr">
        <is>
          <t>AI 客服 ROI 测算模板 - 使用说明</t>
        </is>
      </c>
    </row>
    <row r="3" ht="26" customHeight="1">
      <c r="A3" s="2" t="inlineStr">
        <is>
          <t>#</t>
        </is>
      </c>
      <c r="B3" s="2" t="inlineStr">
        <is>
          <t>项目</t>
        </is>
      </c>
      <c r="C3" s="2" t="inlineStr">
        <is>
          <t>说明</t>
        </is>
      </c>
    </row>
    <row r="4" ht="22" customHeight="1">
      <c r="A4" s="3" t="inlineStr"/>
      <c r="B4" s="4" t="inlineStr">
        <is>
          <t>使用步骤</t>
        </is>
      </c>
      <c r="C4" s="3" t="inlineStr"/>
    </row>
    <row r="5" ht="22" customHeight="1">
      <c r="A5" s="3" t="inlineStr"/>
      <c r="B5" s="5" t="inlineStr">
        <is>
          <t>Step 1</t>
        </is>
      </c>
      <c r="C5" s="5" t="inlineStr">
        <is>
          <t>打开 [1-输入参数] 页，填写绿色格子。这是唯一需要改的页。</t>
        </is>
      </c>
    </row>
    <row r="6" ht="22" customHeight="1">
      <c r="A6" s="3" t="inlineStr"/>
      <c r="B6" s="5" t="inlineStr">
        <is>
          <t>Step 2</t>
        </is>
      </c>
      <c r="C6" s="5" t="inlineStr">
        <is>
          <t>查看 [2-现状基线] 页，确认你当前的人工客服成本结构是否符合实际。</t>
        </is>
      </c>
    </row>
    <row r="7" ht="22" customHeight="1">
      <c r="A7" s="3" t="inlineStr"/>
      <c r="B7" s="5" t="inlineStr">
        <is>
          <t>Step 3</t>
        </is>
      </c>
      <c r="C7" s="5" t="inlineStr">
        <is>
          <t>查看 [3-AI改造后测算] 页，看到整体降本效果与新单位成本。</t>
        </is>
      </c>
    </row>
    <row r="8" ht="22" customHeight="1">
      <c r="A8" s="3" t="inlineStr"/>
      <c r="B8" s="5" t="inlineStr">
        <is>
          <t>Step 4</t>
        </is>
      </c>
      <c r="C8" s="5" t="inlineStr">
        <is>
          <t>查看 [4-分场景收益] 页，定位哪些场景贡献最大，决定立项优先级。</t>
        </is>
      </c>
    </row>
    <row r="9" ht="22" customHeight="1">
      <c r="A9" s="3" t="inlineStr"/>
      <c r="B9" s="5" t="inlineStr">
        <is>
          <t>Step 5</t>
        </is>
      </c>
      <c r="C9" s="5" t="inlineStr">
        <is>
          <t>查看 [5-三年现金流ROI] 页，向 CFO / 老板汇报用这张。</t>
        </is>
      </c>
    </row>
    <row r="10" ht="22" customHeight="1">
      <c r="A10" s="3" t="inlineStr"/>
      <c r="B10" s="5" t="inlineStr">
        <is>
          <t>Step 6</t>
        </is>
      </c>
      <c r="C10" s="5" t="inlineStr">
        <is>
          <t>查看 [6-敏感性分析] 页，回答'如果 AI 承接率只做到 50% 怎么办'这类问题。</t>
        </is>
      </c>
    </row>
    <row r="11" ht="22" customHeight="1">
      <c r="A11" s="3" t="inlineStr"/>
      <c r="B11" s="5" t="inlineStr">
        <is>
          <t>Step 7</t>
        </is>
      </c>
      <c r="C11" s="5" t="inlineStr">
        <is>
          <t>查看 [7-Dashboard] 页，一页纸汇报用。</t>
        </is>
      </c>
    </row>
    <row r="12" ht="22" customHeight="1">
      <c r="A12" s="3" t="n"/>
      <c r="B12" s="3" t="n"/>
      <c r="C12" s="3" t="n"/>
    </row>
    <row r="13" ht="22" customHeight="1">
      <c r="A13" s="3" t="inlineStr"/>
      <c r="B13" s="4" t="inlineStr">
        <is>
          <t>颜色图例</t>
        </is>
      </c>
      <c r="C13" s="3" t="inlineStr"/>
    </row>
    <row r="14" ht="22" customHeight="1">
      <c r="A14" s="3" t="inlineStr"/>
      <c r="B14" s="5" t="inlineStr">
        <is>
          <t>绿色格子</t>
        </is>
      </c>
      <c r="C14" s="5" t="inlineStr">
        <is>
          <t>输入项，只改这些。</t>
        </is>
      </c>
    </row>
    <row r="15" ht="22" customHeight="1">
      <c r="A15" s="3" t="inlineStr"/>
      <c r="B15" s="5" t="inlineStr">
        <is>
          <t>黄色格子</t>
        </is>
      </c>
      <c r="C15" s="5" t="inlineStr">
        <is>
          <t>公式计算项，不要手改，会破坏联动。</t>
        </is>
      </c>
    </row>
    <row r="16" ht="22" customHeight="1">
      <c r="A16" s="3" t="inlineStr"/>
      <c r="B16" s="5" t="inlineStr">
        <is>
          <t>橙色格子</t>
        </is>
      </c>
      <c r="C16" s="5" t="inlineStr">
        <is>
          <t>关键结果，重点看。</t>
        </is>
      </c>
    </row>
    <row r="17" ht="22" customHeight="1">
      <c r="A17" s="3" t="inlineStr"/>
      <c r="B17" s="5" t="inlineStr">
        <is>
          <t>灰色格子</t>
        </is>
      </c>
      <c r="C17" s="5" t="inlineStr">
        <is>
          <t>备注和参考值。</t>
        </is>
      </c>
    </row>
    <row r="18" ht="22" customHeight="1">
      <c r="A18" s="3" t="n"/>
      <c r="B18" s="3" t="n"/>
      <c r="C18" s="3" t="n"/>
    </row>
    <row r="19" ht="22" customHeight="1">
      <c r="A19" s="3" t="inlineStr"/>
      <c r="B19" s="4" t="inlineStr">
        <is>
          <t>行业经验参考值</t>
        </is>
      </c>
      <c r="C19" s="3" t="inlineStr"/>
    </row>
    <row r="20" ht="22" customHeight="1">
      <c r="A20" s="3" t="inlineStr"/>
      <c r="B20" s="5" t="inlineStr">
        <is>
          <t>单次人工会话成本</t>
        </is>
      </c>
      <c r="C20" s="5" t="inlineStr">
        <is>
          <t>电商 3~6 元 / 金融 6~15 元 / 运营商 4~8 元</t>
        </is>
      </c>
    </row>
    <row r="21" ht="22" customHeight="1">
      <c r="A21" s="3" t="inlineStr"/>
      <c r="B21" s="5" t="inlineStr">
        <is>
          <t>单次 AI 自助成本</t>
        </is>
      </c>
      <c r="C21" s="5" t="inlineStr">
        <is>
          <t>0.1~0.5 元（含 Token + 平台摊销）</t>
        </is>
      </c>
    </row>
    <row r="22" ht="22" customHeight="1">
      <c r="A22" s="3" t="inlineStr"/>
      <c r="B22" s="5" t="inlineStr">
        <is>
          <t>AI 承接率（1 年目标）</t>
        </is>
      </c>
      <c r="C22" s="5" t="inlineStr">
        <is>
          <t>首期 30%~50%，成熟期 60%~80%</t>
        </is>
      </c>
    </row>
    <row r="23" ht="22" customHeight="1">
      <c r="A23" s="3" t="inlineStr"/>
      <c r="B23" s="5" t="inlineStr">
        <is>
          <t>AHT 降幅（Copilot 场景）</t>
        </is>
      </c>
      <c r="C23" s="5" t="inlineStr">
        <is>
          <t>15%~30%</t>
        </is>
      </c>
    </row>
    <row r="24" ht="22" customHeight="1">
      <c r="A24" s="3" t="inlineStr"/>
      <c r="B24" s="5" t="inlineStr">
        <is>
          <t>质检覆盖率提升</t>
        </is>
      </c>
      <c r="C24" s="5" t="inlineStr">
        <is>
          <t>5% → 100%，质检人员可压缩 60%~80%</t>
        </is>
      </c>
    </row>
    <row r="25" ht="22" customHeight="1">
      <c r="A25" s="3" t="inlineStr"/>
      <c r="B25" s="5" t="inlineStr">
        <is>
          <t>FCR 提升</t>
        </is>
      </c>
      <c r="C25" s="5" t="inlineStr">
        <is>
          <t>3~8 个百分点</t>
        </is>
      </c>
    </row>
    <row r="26" ht="22" customHeight="1">
      <c r="A26" s="3" t="n"/>
      <c r="B26" s="3" t="n"/>
      <c r="C26" s="3" t="n"/>
    </row>
    <row r="27" ht="22" customHeight="1">
      <c r="A27" s="3" t="inlineStr"/>
      <c r="B27" s="4" t="inlineStr">
        <is>
          <t>注意事项</t>
        </is>
      </c>
      <c r="C27" s="3" t="inlineStr"/>
    </row>
    <row r="28" ht="22" customHeight="1">
      <c r="A28" s="3" t="inlineStr"/>
      <c r="B28" s="5" t="inlineStr">
        <is>
          <t>注意 1</t>
        </is>
      </c>
      <c r="C28" s="5" t="inlineStr">
        <is>
          <t>人力成本按全口径（工资+社保+场地+管理+流失成本），一般为裸工资 × 1.5~1.8。</t>
        </is>
      </c>
    </row>
    <row r="29" ht="22" customHeight="1">
      <c r="A29" s="3" t="inlineStr"/>
      <c r="B29" s="5" t="inlineStr">
        <is>
          <t>注意 2</t>
        </is>
      </c>
      <c r="C29" s="5" t="inlineStr">
        <is>
          <t>AI 成本要含：大模型 API / GPU 摊销 / 平台软件 / AI 训练师人力 / 实施外包。</t>
        </is>
      </c>
    </row>
    <row r="30" ht="22" customHeight="1">
      <c r="A30" s="3" t="inlineStr"/>
      <c r="B30" s="5" t="inlineStr">
        <is>
          <t>注意 3</t>
        </is>
      </c>
      <c r="C30" s="5" t="inlineStr">
        <is>
          <t>不要只看第一年，大模型项目第 2-3 年规模化才是 ROI 主要来源。</t>
        </is>
      </c>
    </row>
    <row r="31" ht="22" customHeight="1">
      <c r="A31" s="3" t="inlineStr"/>
      <c r="B31" s="5" t="inlineStr">
        <is>
          <t>注意 4</t>
        </is>
      </c>
      <c r="C31" s="5" t="inlineStr">
        <is>
          <t>CSAT、NPS 的提升很难折现，本模板默认不算入财务收益，作为软性收益单独列示。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16" customWidth="1" min="4" max="4"/>
    <col width="50" customWidth="1" min="5" max="5"/>
  </cols>
  <sheetData>
    <row r="1" ht="32" customHeight="1">
      <c r="A1" s="1" t="inlineStr">
        <is>
          <t>1. 输入参数（绿色格子 = 需要你填）</t>
        </is>
      </c>
    </row>
    <row r="3" ht="26" customHeight="1">
      <c r="A3" s="2" t="inlineStr">
        <is>
          <t>#</t>
        </is>
      </c>
      <c r="B3" s="2" t="inlineStr">
        <is>
          <t>参数名称</t>
        </is>
      </c>
      <c r="C3" s="2" t="inlineStr">
        <is>
          <t>数值</t>
        </is>
      </c>
      <c r="D3" s="2" t="inlineStr">
        <is>
          <t>单位</t>
        </is>
      </c>
      <c r="E3" s="2" t="inlineStr">
        <is>
          <t>说明 / 参考</t>
        </is>
      </c>
    </row>
    <row r="4" ht="22" customHeight="1">
      <c r="A4" s="6" t="inlineStr">
        <is>
          <t>A. 业务规模基线</t>
        </is>
      </c>
    </row>
    <row r="5" ht="22" customHeight="1">
      <c r="A5" s="7" t="inlineStr"/>
      <c r="B5" s="5" t="inlineStr">
        <is>
          <t>月均会话量</t>
        </is>
      </c>
      <c r="C5" s="8" t="n">
        <v>1000000</v>
      </c>
      <c r="D5" s="9" t="inlineStr">
        <is>
          <t>次/月</t>
        </is>
      </c>
      <c r="E5" s="10" t="inlineStr">
        <is>
          <t>含在线+电话+工单，全渠道合计</t>
        </is>
      </c>
    </row>
    <row r="6" ht="22" customHeight="1">
      <c r="A6" s="7" t="inlineStr"/>
      <c r="B6" s="5" t="inlineStr">
        <is>
          <t>人工坐席数</t>
        </is>
      </c>
      <c r="C6" s="8" t="n">
        <v>1500</v>
      </c>
      <c r="D6" s="9" t="inlineStr">
        <is>
          <t>人</t>
        </is>
      </c>
      <c r="E6" s="10" t="inlineStr">
        <is>
          <t>一线坐席，不含质检/主管</t>
        </is>
      </c>
    </row>
    <row r="7" ht="22" customHeight="1">
      <c r="A7" s="7" t="inlineStr"/>
      <c r="B7" s="5" t="inlineStr">
        <is>
          <t>质检人员数</t>
        </is>
      </c>
      <c r="C7" s="8" t="n">
        <v>80</v>
      </c>
      <c r="D7" s="9" t="inlineStr">
        <is>
          <t>人</t>
        </is>
      </c>
      <c r="E7" s="10" t="inlineStr">
        <is>
          <t>原有质检团队规模</t>
        </is>
      </c>
    </row>
    <row r="8" ht="22" customHeight="1">
      <c r="A8" s="7" t="inlineStr"/>
      <c r="B8" s="5" t="inlineStr">
        <is>
          <t>坐席月均工时</t>
        </is>
      </c>
      <c r="C8" s="8" t="n">
        <v>176</v>
      </c>
      <c r="D8" s="9" t="inlineStr">
        <is>
          <t>小时/人/月</t>
        </is>
      </c>
      <c r="E8" s="10" t="inlineStr">
        <is>
          <t>按每月22天 × 8小时</t>
        </is>
      </c>
    </row>
    <row r="9" ht="22" customHeight="1">
      <c r="A9" s="6" t="inlineStr">
        <is>
          <t>B. 人工成本（全口径）</t>
        </is>
      </c>
    </row>
    <row r="10" ht="22" customHeight="1">
      <c r="A10" s="7" t="inlineStr"/>
      <c r="B10" s="5" t="inlineStr">
        <is>
          <t>坐席月均全成本</t>
        </is>
      </c>
      <c r="C10" s="8" t="n">
        <v>8000</v>
      </c>
      <c r="D10" s="9" t="inlineStr">
        <is>
          <t>元/人/月</t>
        </is>
      </c>
      <c r="E10" s="10" t="inlineStr">
        <is>
          <t>裸工资 × 1.5~1.8（含社保、场地、管理摊销）</t>
        </is>
      </c>
    </row>
    <row r="11" ht="22" customHeight="1">
      <c r="A11" s="7" t="inlineStr"/>
      <c r="B11" s="5" t="inlineStr">
        <is>
          <t>质检员月均全成本</t>
        </is>
      </c>
      <c r="C11" s="8" t="n">
        <v>10000</v>
      </c>
      <c r="D11" s="9" t="inlineStr">
        <is>
          <t>元/人/月</t>
        </is>
      </c>
      <c r="E11" s="10" t="inlineStr">
        <is>
          <t>一般高于坐席 20%</t>
        </is>
      </c>
    </row>
    <row r="12" ht="22" customHeight="1">
      <c r="A12" s="7" t="inlineStr"/>
      <c r="B12" s="5" t="inlineStr">
        <is>
          <t>主管/运营人员数</t>
        </is>
      </c>
      <c r="C12" s="8" t="n">
        <v>100</v>
      </c>
      <c r="D12" s="9" t="inlineStr">
        <is>
          <t>人</t>
        </is>
      </c>
      <c r="E12" s="10" t="inlineStr">
        <is>
          <t>不直接参与对话但与规模挂钩</t>
        </is>
      </c>
    </row>
    <row r="13" ht="22" customHeight="1">
      <c r="A13" s="7" t="inlineStr"/>
      <c r="B13" s="5" t="inlineStr">
        <is>
          <t>主管/运营月均全成本</t>
        </is>
      </c>
      <c r="C13" s="8" t="n">
        <v>15000</v>
      </c>
      <c r="D13" s="9" t="inlineStr">
        <is>
          <t>元/人/月</t>
        </is>
      </c>
      <c r="E13" s="10" t="inlineStr"/>
    </row>
    <row r="14" ht="22" customHeight="1">
      <c r="A14" s="6" t="inlineStr">
        <is>
          <t>C. 现状 KPI</t>
        </is>
      </c>
    </row>
    <row r="15" ht="22" customHeight="1">
      <c r="A15" s="7" t="inlineStr"/>
      <c r="B15" s="5" t="inlineStr">
        <is>
          <t>现有机器人承接率</t>
        </is>
      </c>
      <c r="C15" s="11" t="n">
        <v>0.15</v>
      </c>
      <c r="D15" s="9" t="inlineStr">
        <is>
          <t>%</t>
        </is>
      </c>
      <c r="E15" s="10" t="inlineStr">
        <is>
          <t>老一代规则机器人的自助率</t>
        </is>
      </c>
    </row>
    <row r="16" ht="22" customHeight="1">
      <c r="A16" s="7" t="inlineStr"/>
      <c r="B16" s="5" t="inlineStr">
        <is>
          <t>平均会话时长 AHT</t>
        </is>
      </c>
      <c r="C16" s="8" t="n">
        <v>8</v>
      </c>
      <c r="D16" s="9" t="inlineStr">
        <is>
          <t>分钟/次</t>
        </is>
      </c>
      <c r="E16" s="10" t="inlineStr">
        <is>
          <t>人工会话平均处理时长</t>
        </is>
      </c>
    </row>
    <row r="17" ht="22" customHeight="1">
      <c r="A17" s="7" t="inlineStr"/>
      <c r="B17" s="5" t="inlineStr">
        <is>
          <t>事后处理时长 ACW</t>
        </is>
      </c>
      <c r="C17" s="8" t="n">
        <v>3</v>
      </c>
      <c r="D17" s="9" t="inlineStr">
        <is>
          <t>分钟/次</t>
        </is>
      </c>
      <c r="E17" s="10" t="inlineStr">
        <is>
          <t>会话结束后填单/记录的时长</t>
        </is>
      </c>
    </row>
    <row r="18" ht="22" customHeight="1">
      <c r="A18" s="7" t="inlineStr"/>
      <c r="B18" s="5" t="inlineStr">
        <is>
          <t>一解率 FCR</t>
        </is>
      </c>
      <c r="C18" s="11" t="n">
        <v>0.65</v>
      </c>
      <c r="D18" s="9" t="inlineStr">
        <is>
          <t>%</t>
        </is>
      </c>
      <c r="E18" s="10" t="inlineStr">
        <is>
          <t>一次咨询解决率</t>
        </is>
      </c>
    </row>
    <row r="19" ht="22" customHeight="1">
      <c r="A19" s="7" t="inlineStr"/>
      <c r="B19" s="5" t="inlineStr">
        <is>
          <t>质检覆盖率</t>
        </is>
      </c>
      <c r="C19" s="11" t="n">
        <v>0.05</v>
      </c>
      <c r="D19" s="9" t="inlineStr">
        <is>
          <t>%</t>
        </is>
      </c>
      <c r="E19" s="10" t="inlineStr">
        <is>
          <t>抽检比例</t>
        </is>
      </c>
    </row>
    <row r="20" ht="22" customHeight="1">
      <c r="A20" s="7" t="inlineStr"/>
      <c r="B20" s="5" t="inlineStr">
        <is>
          <t>CSAT 满意度</t>
        </is>
      </c>
      <c r="C20" s="11" t="n">
        <v>0.82</v>
      </c>
      <c r="D20" s="9" t="inlineStr">
        <is>
          <t>%</t>
        </is>
      </c>
      <c r="E20" s="10" t="inlineStr">
        <is>
          <t>当前客户满意度</t>
        </is>
      </c>
    </row>
    <row r="21" ht="22" customHeight="1">
      <c r="A21" s="6" t="inlineStr">
        <is>
          <t>D. AI 方案目标（Y1/Y2/Y3）</t>
        </is>
      </c>
    </row>
    <row r="22" ht="22" customHeight="1">
      <c r="A22" s="7" t="inlineStr"/>
      <c r="B22" s="5" t="inlineStr">
        <is>
          <t>AI 承接率 Y1</t>
        </is>
      </c>
      <c r="C22" s="11" t="n">
        <v>0.35</v>
      </c>
      <c r="D22" s="9" t="inlineStr">
        <is>
          <t>%</t>
        </is>
      </c>
      <c r="E22" s="10" t="inlineStr">
        <is>
          <t>第 1 年目标，典型 30%~50%</t>
        </is>
      </c>
    </row>
    <row r="23" ht="22" customHeight="1">
      <c r="A23" s="7" t="inlineStr"/>
      <c r="B23" s="5" t="inlineStr">
        <is>
          <t>AI 承接率 Y2</t>
        </is>
      </c>
      <c r="C23" s="11" t="n">
        <v>0.55</v>
      </c>
      <c r="D23" s="9" t="inlineStr">
        <is>
          <t>%</t>
        </is>
      </c>
      <c r="E23" s="10" t="inlineStr">
        <is>
          <t>第 2 年</t>
        </is>
      </c>
    </row>
    <row r="24" ht="22" customHeight="1">
      <c r="A24" s="7" t="inlineStr"/>
      <c r="B24" s="5" t="inlineStr">
        <is>
          <t>AI 承接率 Y3</t>
        </is>
      </c>
      <c r="C24" s="11" t="n">
        <v>0.7</v>
      </c>
      <c r="D24" s="9" t="inlineStr">
        <is>
          <t>%</t>
        </is>
      </c>
      <c r="E24" s="10" t="inlineStr">
        <is>
          <t>第 3 年，成熟期</t>
        </is>
      </c>
    </row>
    <row r="25" ht="22" customHeight="1">
      <c r="A25" s="7" t="inlineStr"/>
      <c r="B25" s="5" t="inlineStr">
        <is>
          <t>Copilot 覆盖坐席比例 Y1</t>
        </is>
      </c>
      <c r="C25" s="11" t="n">
        <v>0.6</v>
      </c>
      <c r="D25" s="9" t="inlineStr">
        <is>
          <t>%</t>
        </is>
      </c>
      <c r="E25" s="10" t="inlineStr">
        <is>
          <t>多少比例的坐席使用 Copilot</t>
        </is>
      </c>
    </row>
    <row r="26" ht="22" customHeight="1">
      <c r="A26" s="7" t="inlineStr"/>
      <c r="B26" s="5" t="inlineStr">
        <is>
          <t>Copilot 覆盖坐席比例 Y2</t>
        </is>
      </c>
      <c r="C26" s="11" t="n">
        <v>0.9</v>
      </c>
      <c r="D26" s="9" t="inlineStr">
        <is>
          <t>%</t>
        </is>
      </c>
      <c r="E26" s="10" t="inlineStr"/>
    </row>
    <row r="27" ht="22" customHeight="1">
      <c r="A27" s="7" t="inlineStr"/>
      <c r="B27" s="5" t="inlineStr">
        <is>
          <t>Copilot 覆盖坐席比例 Y3</t>
        </is>
      </c>
      <c r="C27" s="11" t="n">
        <v>1</v>
      </c>
      <c r="D27" s="9" t="inlineStr">
        <is>
          <t>%</t>
        </is>
      </c>
      <c r="E27" s="10" t="inlineStr"/>
    </row>
    <row r="28" ht="22" customHeight="1">
      <c r="A28" s="7" t="inlineStr"/>
      <c r="B28" s="5" t="inlineStr">
        <is>
          <t>Copilot 带来 AHT 降幅</t>
        </is>
      </c>
      <c r="C28" s="11" t="n">
        <v>0.2</v>
      </c>
      <c r="D28" s="9" t="inlineStr">
        <is>
          <t>%</t>
        </is>
      </c>
      <c r="E28" s="10" t="inlineStr">
        <is>
          <t>15%~30%</t>
        </is>
      </c>
    </row>
    <row r="29" ht="22" customHeight="1">
      <c r="A29" s="7" t="inlineStr"/>
      <c r="B29" s="5" t="inlineStr">
        <is>
          <t>Copilot 带来 ACW 降幅</t>
        </is>
      </c>
      <c r="C29" s="11" t="n">
        <v>0.5</v>
      </c>
      <c r="D29" s="9" t="inlineStr">
        <is>
          <t>%</t>
        </is>
      </c>
      <c r="E29" s="10" t="inlineStr">
        <is>
          <t>工单自动生成后降幅 40%~60%</t>
        </is>
      </c>
    </row>
    <row r="30" ht="22" customHeight="1">
      <c r="A30" s="7" t="inlineStr"/>
      <c r="B30" s="5" t="inlineStr">
        <is>
          <t>AI 质检覆盖率</t>
        </is>
      </c>
      <c r="C30" s="11" t="n">
        <v>1</v>
      </c>
      <c r="D30" s="9" t="inlineStr">
        <is>
          <t>%</t>
        </is>
      </c>
      <c r="E30" s="10" t="inlineStr">
        <is>
          <t>AI 质检一般做到 100%</t>
        </is>
      </c>
    </row>
    <row r="31" ht="22" customHeight="1">
      <c r="A31" s="7" t="inlineStr"/>
      <c r="B31" s="5" t="inlineStr">
        <is>
          <t>AI 质检员压缩比例</t>
        </is>
      </c>
      <c r="C31" s="11" t="n">
        <v>0.7</v>
      </c>
      <c r="D31" s="9" t="inlineStr">
        <is>
          <t>%</t>
        </is>
      </c>
      <c r="E31" s="10" t="inlineStr">
        <is>
          <t>60%~80%</t>
        </is>
      </c>
    </row>
    <row r="32" ht="22" customHeight="1">
      <c r="A32" s="7" t="inlineStr"/>
      <c r="B32" s="5" t="inlineStr">
        <is>
          <t>FCR 提升（百分点）</t>
        </is>
      </c>
      <c r="C32" s="11" t="n">
        <v>0.05</v>
      </c>
      <c r="D32" s="9" t="inlineStr">
        <is>
          <t>%</t>
        </is>
      </c>
      <c r="E32" s="10" t="inlineStr">
        <is>
          <t>3~8 个百分点</t>
        </is>
      </c>
    </row>
    <row r="33" ht="22" customHeight="1">
      <c r="A33" s="6" t="inlineStr">
        <is>
          <t>E. AI 成本</t>
        </is>
      </c>
    </row>
    <row r="34" ht="22" customHeight="1">
      <c r="A34" s="7" t="inlineStr"/>
      <c r="B34" s="5" t="inlineStr">
        <is>
          <t>单次 AI 会话成本</t>
        </is>
      </c>
      <c r="C34" s="12" t="n">
        <v>0.3</v>
      </c>
      <c r="D34" s="9" t="inlineStr">
        <is>
          <t>元/次</t>
        </is>
      </c>
      <c r="E34" s="10" t="inlineStr">
        <is>
          <t>含 Token + 平台摊销，0.1~0.5</t>
        </is>
      </c>
    </row>
    <row r="35" ht="22" customHeight="1">
      <c r="A35" s="7" t="inlineStr"/>
      <c r="B35" s="5" t="inlineStr">
        <is>
          <t>AI 平台年订阅/摊销</t>
        </is>
      </c>
      <c r="C35" s="8" t="n">
        <v>1500000</v>
      </c>
      <c r="D35" s="9" t="inlineStr">
        <is>
          <t>元/年</t>
        </is>
      </c>
      <c r="E35" s="10" t="inlineStr">
        <is>
          <t>大模型私有化 / SaaS 订阅 / GPU 摊销</t>
        </is>
      </c>
    </row>
    <row r="36" ht="22" customHeight="1">
      <c r="A36" s="7" t="inlineStr"/>
      <c r="B36" s="5" t="inlineStr">
        <is>
          <t>一次性建设投入</t>
        </is>
      </c>
      <c r="C36" s="8" t="n">
        <v>3000000</v>
      </c>
      <c r="D36" s="9" t="inlineStr">
        <is>
          <t>元</t>
        </is>
      </c>
      <c r="E36" s="10" t="inlineStr">
        <is>
          <t>项目实施+定制开发+数据治理，第 0 年投入</t>
        </is>
      </c>
    </row>
    <row r="37" ht="22" customHeight="1">
      <c r="A37" s="7" t="inlineStr"/>
      <c r="B37" s="5" t="inlineStr">
        <is>
          <t>AI 训练师/运营人数</t>
        </is>
      </c>
      <c r="C37" s="8" t="n">
        <v>8</v>
      </c>
      <c r="D37" s="9" t="inlineStr">
        <is>
          <t>人</t>
        </is>
      </c>
      <c r="E37" s="10" t="inlineStr">
        <is>
          <t>新增岗位</t>
        </is>
      </c>
    </row>
    <row r="38" ht="22" customHeight="1">
      <c r="A38" s="7" t="inlineStr"/>
      <c r="B38" s="5" t="inlineStr">
        <is>
          <t>AI 训练师月均全成本</t>
        </is>
      </c>
      <c r="C38" s="8" t="n">
        <v>18000</v>
      </c>
      <c r="D38" s="9" t="inlineStr">
        <is>
          <t>元/人/月</t>
        </is>
      </c>
      <c r="E38" s="10" t="inlineStr"/>
    </row>
    <row r="39" ht="22" customHeight="1">
      <c r="A39" s="7" t="inlineStr"/>
      <c r="B39" s="5" t="inlineStr">
        <is>
          <t>年度模型维护/迭代费</t>
        </is>
      </c>
      <c r="C39" s="8" t="n">
        <v>800000</v>
      </c>
      <c r="D39" s="9" t="inlineStr">
        <is>
          <t>元/年</t>
        </is>
      </c>
      <c r="E39" s="10" t="inlineStr">
        <is>
          <t>持续调优、知识运营</t>
        </is>
      </c>
    </row>
    <row r="40" ht="22" customHeight="1">
      <c r="A40" s="6" t="inlineStr">
        <is>
          <t>F. 软性收益（可选）</t>
        </is>
      </c>
    </row>
    <row r="41" ht="22" customHeight="1">
      <c r="A41" s="7" t="inlineStr"/>
      <c r="B41" s="5" t="inlineStr">
        <is>
          <t>CSAT 每提升 1pp 带来留存收入增量</t>
        </is>
      </c>
      <c r="C41" s="8" t="n">
        <v>500000</v>
      </c>
      <c r="D41" s="9" t="inlineStr">
        <is>
          <t>元/年</t>
        </is>
      </c>
      <c r="E41" s="10" t="inlineStr">
        <is>
          <t>仅做估算，不计入主 ROI</t>
        </is>
      </c>
    </row>
    <row r="42" ht="22" customHeight="1">
      <c r="A42" s="7" t="inlineStr"/>
      <c r="B42" s="5" t="inlineStr">
        <is>
          <t>预期 CSAT 提升</t>
        </is>
      </c>
      <c r="C42" s="11" t="n">
        <v>0.04</v>
      </c>
      <c r="D42" s="9" t="inlineStr">
        <is>
          <t>%</t>
        </is>
      </c>
      <c r="E42" s="10" t="inlineStr">
        <is>
          <t>4 个百分点</t>
        </is>
      </c>
    </row>
    <row r="43" ht="22" customHeight="1">
      <c r="A43" s="6" t="inlineStr">
        <is>
          <t>G. 财务参数</t>
        </is>
      </c>
    </row>
    <row r="44" ht="22" customHeight="1">
      <c r="A44" s="7" t="inlineStr"/>
      <c r="B44" s="5" t="inlineStr">
        <is>
          <t>折现率 WACC</t>
        </is>
      </c>
      <c r="C44" s="11" t="n">
        <v>0.08</v>
      </c>
      <c r="D44" s="9" t="inlineStr">
        <is>
          <t>%</t>
        </is>
      </c>
      <c r="E44" s="10" t="inlineStr">
        <is>
          <t>用于 NPV</t>
        </is>
      </c>
    </row>
    <row r="45" ht="22" customHeight="1">
      <c r="A45" s="7" t="inlineStr"/>
      <c r="B45" s="5" t="inlineStr">
        <is>
          <t>测算周期</t>
        </is>
      </c>
      <c r="C45" s="8" t="n">
        <v>3</v>
      </c>
      <c r="D45" s="9" t="inlineStr">
        <is>
          <t>年</t>
        </is>
      </c>
      <c r="E45" s="10" t="inlineStr">
        <is>
          <t>默认 3 年</t>
        </is>
      </c>
    </row>
  </sheetData>
  <mergeCells count="8">
    <mergeCell ref="A21:E21"/>
    <mergeCell ref="A4:E4"/>
    <mergeCell ref="A43:E43"/>
    <mergeCell ref="A33:E33"/>
    <mergeCell ref="A1:E1"/>
    <mergeCell ref="A14:E14"/>
    <mergeCell ref="A40:E40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6" customWidth="1" min="4" max="4"/>
    <col width="40" customWidth="1" min="5" max="5"/>
  </cols>
  <sheetData>
    <row r="1" ht="32" customHeight="1">
      <c r="A1" s="1" t="inlineStr">
        <is>
          <t>2. 现状基线（改造前）</t>
        </is>
      </c>
    </row>
    <row r="3" ht="26" customHeight="1">
      <c r="A3" s="2" t="inlineStr">
        <is>
          <t>#</t>
        </is>
      </c>
      <c r="B3" s="2" t="inlineStr">
        <is>
          <t>指标</t>
        </is>
      </c>
      <c r="C3" s="2" t="inlineStr">
        <is>
          <t>数值</t>
        </is>
      </c>
      <c r="D3" s="2" t="inlineStr">
        <is>
          <t>单位</t>
        </is>
      </c>
      <c r="E3" s="2" t="inlineStr">
        <is>
          <t>口径说明</t>
        </is>
      </c>
    </row>
    <row r="4" ht="22" customHeight="1">
      <c r="A4" s="13" t="n">
        <v>1</v>
      </c>
      <c r="B4" s="14" t="inlineStr">
        <is>
          <t>年会话量</t>
        </is>
      </c>
      <c r="C4" s="15">
        <f>'1-输入参数'!$C$5*12</f>
        <v/>
      </c>
      <c r="D4" s="9" t="inlineStr">
        <is>
          <t>次/年</t>
        </is>
      </c>
      <c r="E4" s="10" t="inlineStr">
        <is>
          <t>月均×12</t>
        </is>
      </c>
    </row>
    <row r="5" ht="22" customHeight="1">
      <c r="A5" s="13" t="n">
        <v>2</v>
      </c>
      <c r="B5" s="14" t="inlineStr">
        <is>
          <t>人工承接量（年）</t>
        </is>
      </c>
      <c r="C5" s="15">
        <f>'1-输入参数'!$C$5*12*(1-'1-输入参数'!$C$15)</f>
        <v/>
      </c>
      <c r="D5" s="9" t="inlineStr">
        <is>
          <t>次/年</t>
        </is>
      </c>
      <c r="E5" s="10" t="inlineStr">
        <is>
          <t>扣除旧机器人自助</t>
        </is>
      </c>
    </row>
    <row r="6" ht="22" customHeight="1">
      <c r="A6" s="13" t="n">
        <v>3</v>
      </c>
      <c r="B6" s="14" t="inlineStr">
        <is>
          <t>坐席年人力成本</t>
        </is>
      </c>
      <c r="C6" s="16">
        <f>'1-输入参数'!$C$6*'1-输入参数'!$C$10*12</f>
        <v/>
      </c>
      <c r="D6" s="9" t="inlineStr">
        <is>
          <t>元/年</t>
        </is>
      </c>
      <c r="E6" s="10" t="inlineStr">
        <is>
          <t>坐席×月成本×12</t>
        </is>
      </c>
    </row>
    <row r="7" ht="22" customHeight="1">
      <c r="A7" s="13" t="n">
        <v>4</v>
      </c>
      <c r="B7" s="14" t="inlineStr">
        <is>
          <t>质检年人力成本</t>
        </is>
      </c>
      <c r="C7" s="16">
        <f>'1-输入参数'!$C$7*'1-输入参数'!$C$11*12</f>
        <v/>
      </c>
      <c r="D7" s="9" t="inlineStr">
        <is>
          <t>元/年</t>
        </is>
      </c>
      <c r="E7" s="10" t="inlineStr">
        <is>
          <t>质检×月成本×12</t>
        </is>
      </c>
    </row>
    <row r="8" ht="22" customHeight="1">
      <c r="A8" s="13" t="n">
        <v>5</v>
      </c>
      <c r="B8" s="14" t="inlineStr">
        <is>
          <t>主管年人力成本</t>
        </is>
      </c>
      <c r="C8" s="16">
        <f>'1-输入参数'!$C$12*'1-输入参数'!$C$13*12</f>
        <v/>
      </c>
      <c r="D8" s="9" t="inlineStr">
        <is>
          <t>元/年</t>
        </is>
      </c>
      <c r="E8" s="10" t="inlineStr">
        <is>
          <t>主管×月成本×12</t>
        </is>
      </c>
    </row>
    <row r="9" ht="22" customHeight="1">
      <c r="A9" s="13" t="n">
        <v>6</v>
      </c>
      <c r="B9" s="14" t="inlineStr">
        <is>
          <t>年人工总成本</t>
        </is>
      </c>
      <c r="C9" s="16">
        <f>C6+C7+C8</f>
        <v/>
      </c>
      <c r="D9" s="9" t="inlineStr">
        <is>
          <t>元/年</t>
        </is>
      </c>
      <c r="E9" s="10" t="inlineStr">
        <is>
          <t>坐席+质检+主管</t>
        </is>
      </c>
    </row>
    <row r="10" ht="22" customHeight="1">
      <c r="A10" s="13" t="n">
        <v>7</v>
      </c>
      <c r="B10" s="14" t="inlineStr">
        <is>
          <t>单次人工会话成本</t>
        </is>
      </c>
      <c r="C10" s="16">
        <f>C9/C4</f>
        <v/>
      </c>
      <c r="D10" s="9" t="inlineStr">
        <is>
          <t>元/次</t>
        </is>
      </c>
      <c r="E10" s="10" t="inlineStr">
        <is>
          <t>年人工成本 ÷ 年会话量（全口径）</t>
        </is>
      </c>
    </row>
    <row r="11" ht="22" customHeight="1">
      <c r="A11" s="13" t="n">
        <v>8</v>
      </c>
      <c r="B11" s="14" t="inlineStr">
        <is>
          <t>单次人工会话成本(仅坐席)</t>
        </is>
      </c>
      <c r="C11" s="16">
        <f>C6/C4</f>
        <v/>
      </c>
      <c r="D11" s="9" t="inlineStr">
        <is>
          <t>元/次</t>
        </is>
      </c>
      <c r="E11" s="10" t="inlineStr">
        <is>
          <t>仅坐席摊销口径</t>
        </is>
      </c>
    </row>
    <row r="12" ht="22" customHeight="1">
      <c r="A12" s="13" t="n">
        <v>9</v>
      </c>
      <c r="B12" s="14" t="inlineStr">
        <is>
          <t>平均处理时长(AHT+ACW)</t>
        </is>
      </c>
      <c r="C12" s="15">
        <f>'1-输入参数'!$C$16+'1-输入参数'!$C$17</f>
        <v/>
      </c>
      <c r="D12" s="9" t="inlineStr">
        <is>
          <t>分钟/次</t>
        </is>
      </c>
      <c r="E12" s="10" t="inlineStr">
        <is>
          <t>处理+事后</t>
        </is>
      </c>
    </row>
    <row r="13" ht="22" customHeight="1">
      <c r="A13" s="13" t="n">
        <v>10</v>
      </c>
      <c r="B13" s="14" t="inlineStr">
        <is>
          <t>年坐席总工时</t>
        </is>
      </c>
      <c r="C13" s="15">
        <f>'1-输入参数'!$C$6*'1-输入参数'!$C$8*12</f>
        <v/>
      </c>
      <c r="D13" s="9" t="inlineStr">
        <is>
          <t>人时/年</t>
        </is>
      </c>
      <c r="E13" s="10" t="inlineStr"/>
    </row>
    <row r="14" ht="22" customHeight="1">
      <c r="A14" s="13" t="n">
        <v>11</v>
      </c>
      <c r="B14" s="14" t="inlineStr">
        <is>
          <t>人均日均会话量</t>
        </is>
      </c>
      <c r="C14" s="15">
        <f>C4/'1-输入参数'!$C$6/250</f>
        <v/>
      </c>
      <c r="D14" s="9" t="inlineStr">
        <is>
          <t>次/人/日</t>
        </is>
      </c>
      <c r="E14" s="10" t="inlineStr">
        <is>
          <t>按年 250 个工作日</t>
        </is>
      </c>
    </row>
    <row r="15" ht="22" customHeight="1">
      <c r="A15" s="13" t="n">
        <v>12</v>
      </c>
      <c r="B15" s="14" t="inlineStr">
        <is>
          <t>FCR</t>
        </is>
      </c>
      <c r="C15" s="17">
        <f>'1-输入参数'!$C$18</f>
        <v/>
      </c>
      <c r="D15" s="9" t="inlineStr">
        <is>
          <t>%</t>
        </is>
      </c>
      <c r="E15" s="10" t="inlineStr">
        <is>
          <t>一解率</t>
        </is>
      </c>
    </row>
    <row r="16" ht="22" customHeight="1">
      <c r="A16" s="13" t="n">
        <v>13</v>
      </c>
      <c r="B16" s="14" t="inlineStr">
        <is>
          <t>质检覆盖率</t>
        </is>
      </c>
      <c r="C16" s="17">
        <f>'1-输入参数'!$C$19</f>
        <v/>
      </c>
      <c r="D16" s="9" t="inlineStr">
        <is>
          <t>%</t>
        </is>
      </c>
      <c r="E16" s="10" t="inlineStr">
        <is>
          <t>抽检比例</t>
        </is>
      </c>
    </row>
    <row r="17" ht="22" customHeight="1">
      <c r="A17" s="13" t="n">
        <v>14</v>
      </c>
      <c r="B17" s="14" t="inlineStr">
        <is>
          <t>CSAT</t>
        </is>
      </c>
      <c r="C17" s="17">
        <f>'1-输入参数'!$C$20</f>
        <v/>
      </c>
      <c r="D17" s="9" t="inlineStr">
        <is>
          <t>%</t>
        </is>
      </c>
      <c r="E17" s="10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 ht="32" customHeight="1">
      <c r="A1" s="1" t="inlineStr">
        <is>
          <t>3. AI 改造后测算（Y1 / Y2 / Y3）</t>
        </is>
      </c>
    </row>
    <row r="3" ht="26" customHeight="1">
      <c r="A3" s="2" t="inlineStr">
        <is>
          <t>指标</t>
        </is>
      </c>
      <c r="B3" s="2" t="inlineStr">
        <is>
          <t>Y1</t>
        </is>
      </c>
      <c r="C3" s="2" t="inlineStr">
        <is>
          <t>Y2</t>
        </is>
      </c>
      <c r="D3" s="2" t="inlineStr">
        <is>
          <t>Y3</t>
        </is>
      </c>
      <c r="E3" s="2" t="inlineStr">
        <is>
          <t>备注</t>
        </is>
      </c>
    </row>
    <row r="4" ht="22" customHeight="1">
      <c r="A4" s="5" t="inlineStr">
        <is>
          <t>年会话量</t>
        </is>
      </c>
      <c r="B4" s="18">
        <f>'2-现状基线'!$C$4</f>
        <v/>
      </c>
      <c r="C4" s="18">
        <f>'2-现状基线'!$C$4</f>
        <v/>
      </c>
      <c r="D4" s="18">
        <f>'2-现状基线'!$C$4</f>
        <v/>
      </c>
      <c r="E4" s="10" t="inlineStr">
        <is>
          <t>与基线相同</t>
        </is>
      </c>
    </row>
    <row r="5" ht="22" customHeight="1">
      <c r="A5" s="5" t="inlineStr">
        <is>
          <t>AI 承接率</t>
        </is>
      </c>
      <c r="B5" s="17">
        <f>'1-输入参数'!$C$22</f>
        <v/>
      </c>
      <c r="C5" s="17">
        <f>'1-输入参数'!$C$23</f>
        <v/>
      </c>
      <c r="D5" s="17">
        <f>'1-输入参数'!$C$24</f>
        <v/>
      </c>
      <c r="E5" s="10" t="inlineStr">
        <is>
          <t>目标值</t>
        </is>
      </c>
    </row>
    <row r="6" ht="22" customHeight="1">
      <c r="A6" s="5" t="inlineStr">
        <is>
          <t>AI 自助会话量</t>
        </is>
      </c>
      <c r="B6" s="18">
        <f>B4*B5</f>
        <v/>
      </c>
      <c r="C6" s="18">
        <f>C4*C5</f>
        <v/>
      </c>
      <c r="D6" s="18">
        <f>D4*D5</f>
        <v/>
      </c>
      <c r="E6" s="10" t="inlineStr">
        <is>
          <t>年会话×AI承接率</t>
        </is>
      </c>
    </row>
    <row r="7" ht="22" customHeight="1">
      <c r="A7" s="5" t="inlineStr">
        <is>
          <t>人工承接会话量</t>
        </is>
      </c>
      <c r="B7" s="18">
        <f>B4*(1-B5)</f>
        <v/>
      </c>
      <c r="C7" s="18">
        <f>C4*(1-C5)</f>
        <v/>
      </c>
      <c r="D7" s="18">
        <f>D4*(1-D5)</f>
        <v/>
      </c>
      <c r="E7" s="10" t="inlineStr">
        <is>
          <t>剩余由人工处理</t>
        </is>
      </c>
    </row>
    <row r="8" ht="22" customHeight="1">
      <c r="A8" s="5" t="inlineStr">
        <is>
          <t>人工承接需坐席数（基准AHT）</t>
        </is>
      </c>
      <c r="B8" s="18">
        <f>B7*('1-输入参数'!$C$16+'1-输入参数'!$C$17)/60/('1-输入参数'!$C$8*12)</f>
        <v/>
      </c>
      <c r="C8" s="18">
        <f>C7*('1-输入参数'!$C$16+'1-输入参数'!$C$17)/60/('1-输入参数'!$C$8*12)</f>
        <v/>
      </c>
      <c r="D8" s="18">
        <f>D7*('1-输入参数'!$C$16+'1-输入参数'!$C$17)/60/('1-输入参数'!$C$8*12)</f>
        <v/>
      </c>
      <c r="E8" s="10" t="inlineStr">
        <is>
          <t>(会话量×处理时长/60) ÷ 人均年工时，基准口径</t>
        </is>
      </c>
    </row>
    <row r="9" ht="22" customHeight="1">
      <c r="A9" s="5" t="inlineStr">
        <is>
          <t>Copilot 加权 AHT+ACW</t>
        </is>
      </c>
      <c r="B9" s="18">
        <f>'1-输入参数'!$C$16*(1-'1-输入参数'!$C$25*'1-输入参数'!$C$28)+'1-输入参数'!$C$17*(1-'1-输入参数'!$C$25*'1-输入参数'!$C$29)</f>
        <v/>
      </c>
      <c r="C9" s="18">
        <f>'1-输入参数'!$C$16*(1-'1-输入参数'!$C$26*'1-输入参数'!$C$28)+'1-输入参数'!$C$17*(1-'1-输入参数'!$C$26*'1-输入参数'!$C$29)</f>
        <v/>
      </c>
      <c r="D9" s="18">
        <f>'1-输入参数'!$C$16*(1-'1-输入参数'!$C$27*'1-输入参数'!$C$28)+'1-输入参数'!$C$17*(1-'1-输入参数'!$C$27*'1-输入参数'!$C$29)</f>
        <v/>
      </c>
      <c r="E9" s="10" t="inlineStr">
        <is>
          <t>Copilot 覆盖率×降幅</t>
        </is>
      </c>
    </row>
    <row r="10" ht="22" customHeight="1">
      <c r="A10" s="5" t="inlineStr">
        <is>
          <t>实际需坐席数</t>
        </is>
      </c>
      <c r="B10" s="18">
        <f>B7*B9/60/('1-输入参数'!$C$8*12)</f>
        <v/>
      </c>
      <c r="C10" s="18">
        <f>C7*C9/60/('1-输入参数'!$C$8*12)</f>
        <v/>
      </c>
      <c r="D10" s="18">
        <f>D7*D9/60/('1-输入参数'!$C$8*12)</f>
        <v/>
      </c>
      <c r="E10" s="10" t="inlineStr">
        <is>
          <t>结合 Copilot 后的真实需求</t>
        </is>
      </c>
    </row>
    <row r="11" ht="22" customHeight="1">
      <c r="A11" s="5" t="inlineStr">
        <is>
          <t>可压缩坐席数</t>
        </is>
      </c>
      <c r="B11" s="18">
        <f>'1-输入参数'!$C$6-B10</f>
        <v/>
      </c>
      <c r="C11" s="18">
        <f>'1-输入参数'!$C$6-C10</f>
        <v/>
      </c>
      <c r="D11" s="18">
        <f>'1-输入参数'!$C$6-D10</f>
        <v/>
      </c>
      <c r="E11" s="10" t="inlineStr">
        <is>
          <t>基准坐席 - 实际需坐席</t>
        </is>
      </c>
    </row>
    <row r="12" ht="22" customHeight="1">
      <c r="A12" s="5" t="inlineStr">
        <is>
          <t>坐席年成本（改造后）</t>
        </is>
      </c>
      <c r="B12" s="19">
        <f>B10*'1-输入参数'!$C$10*12</f>
        <v/>
      </c>
      <c r="C12" s="19">
        <f>C10*'1-输入参数'!$C$10*12</f>
        <v/>
      </c>
      <c r="D12" s="19">
        <f>D10*'1-输入参数'!$C$10*12</f>
        <v/>
      </c>
      <c r="E12" s="10" t="inlineStr"/>
    </row>
    <row r="13" ht="22" customHeight="1">
      <c r="A13" s="5" t="inlineStr">
        <is>
          <t>质检人员（改造后）</t>
        </is>
      </c>
      <c r="B13" s="18">
        <f>'1-输入参数'!$C$7*(1-'1-输入参数'!$C$31)</f>
        <v/>
      </c>
      <c r="C13" s="18">
        <f>'1-输入参数'!$C$7*(1-'1-输入参数'!$C$31)</f>
        <v/>
      </c>
      <c r="D13" s="18">
        <f>'1-输入参数'!$C$7*(1-'1-输入参数'!$C$31)</f>
        <v/>
      </c>
      <c r="E13" s="10" t="inlineStr"/>
    </row>
    <row r="14" ht="22" customHeight="1">
      <c r="A14" s="5" t="inlineStr">
        <is>
          <t>质检年成本（改造后）</t>
        </is>
      </c>
      <c r="B14" s="19">
        <f>B13*'1-输入参数'!$C$11*12</f>
        <v/>
      </c>
      <c r="C14" s="19">
        <f>C13*'1-输入参数'!$C$11*12</f>
        <v/>
      </c>
      <c r="D14" s="19">
        <f>D13*'1-输入参数'!$C$11*12</f>
        <v/>
      </c>
      <c r="E14" s="10" t="inlineStr"/>
    </row>
    <row r="15" ht="22" customHeight="1">
      <c r="A15" s="5" t="inlineStr">
        <is>
          <t>主管年成本（按坐席比例缩放）</t>
        </is>
      </c>
      <c r="B15" s="19">
        <f>'2-现状基线'!$C$8*B10/'1-输入参数'!$C$6</f>
        <v/>
      </c>
      <c r="C15" s="19">
        <f>'2-现状基线'!$C$8*C10/'1-输入参数'!$C$6</f>
        <v/>
      </c>
      <c r="D15" s="19">
        <f>'2-现状基线'!$C$8*D10/'1-输入参数'!$C$6</f>
        <v/>
      </c>
      <c r="E15" s="10" t="inlineStr">
        <is>
          <t>主管规模随坐席等比例缩减</t>
        </is>
      </c>
    </row>
    <row r="16" ht="22" customHeight="1">
      <c r="A16" s="5" t="inlineStr">
        <is>
          <t>AI 自助会话成本</t>
        </is>
      </c>
      <c r="B16" s="19">
        <f>B6*'1-输入参数'!$C$34</f>
        <v/>
      </c>
      <c r="C16" s="19">
        <f>C6*'1-输入参数'!$C$34</f>
        <v/>
      </c>
      <c r="D16" s="19">
        <f>D6*'1-输入参数'!$C$34</f>
        <v/>
      </c>
      <c r="E16" s="10" t="inlineStr">
        <is>
          <t>AI 会话量 × 单次 AI 成本</t>
        </is>
      </c>
    </row>
    <row r="17" ht="22" customHeight="1">
      <c r="A17" s="5" t="inlineStr">
        <is>
          <t>AI 平台订阅/摊销</t>
        </is>
      </c>
      <c r="B17" s="19">
        <f>'1-输入参数'!$C$35</f>
        <v/>
      </c>
      <c r="C17" s="19">
        <f>'1-输入参数'!$C$35</f>
        <v/>
      </c>
      <c r="D17" s="19">
        <f>'1-输入参数'!$C$35</f>
        <v/>
      </c>
      <c r="E17" s="10" t="inlineStr"/>
    </row>
    <row r="18" ht="22" customHeight="1">
      <c r="A18" s="5" t="inlineStr">
        <is>
          <t>AI 训练师人力成本</t>
        </is>
      </c>
      <c r="B18" s="19">
        <f>'1-输入参数'!$C$37*'1-输入参数'!$C$38*12</f>
        <v/>
      </c>
      <c r="C18" s="19">
        <f>'1-输入参数'!$C$37*'1-输入参数'!$C$38*12</f>
        <v/>
      </c>
      <c r="D18" s="19">
        <f>'1-输入参数'!$C$37*'1-输入参数'!$C$38*12</f>
        <v/>
      </c>
      <c r="E18" s="10" t="inlineStr"/>
    </row>
    <row r="19" ht="22" customHeight="1">
      <c r="A19" s="5" t="inlineStr">
        <is>
          <t>年度模型维护/迭代</t>
        </is>
      </c>
      <c r="B19" s="19">
        <f>'1-输入参数'!$C$39</f>
        <v/>
      </c>
      <c r="C19" s="19">
        <f>'1-输入参数'!$C$39</f>
        <v/>
      </c>
      <c r="D19" s="19">
        <f>'1-输入参数'!$C$39</f>
        <v/>
      </c>
      <c r="E19" s="10" t="inlineStr"/>
    </row>
    <row r="20" ht="22" customHeight="1">
      <c r="A20" s="5" t="inlineStr">
        <is>
          <t>AI 总成本</t>
        </is>
      </c>
      <c r="B20" s="19">
        <f>B16+B17+B18+B19</f>
        <v/>
      </c>
      <c r="C20" s="19">
        <f>C16+C17+C18+C19</f>
        <v/>
      </c>
      <c r="D20" s="19">
        <f>D16+D17+D18+D19</f>
        <v/>
      </c>
      <c r="E20" s="10" t="inlineStr">
        <is>
          <t>AI 相关全部开销</t>
        </is>
      </c>
    </row>
    <row r="21" ht="22" customHeight="1">
      <c r="A21" s="5" t="inlineStr">
        <is>
          <t>改造后总成本</t>
        </is>
      </c>
      <c r="B21" s="19">
        <f>B12+B14+B15+B20</f>
        <v/>
      </c>
      <c r="C21" s="19">
        <f>C12+C14+C15+C20</f>
        <v/>
      </c>
      <c r="D21" s="19">
        <f>D12+D14+D15+D20</f>
        <v/>
      </c>
      <c r="E21" s="10" t="inlineStr">
        <is>
          <t>人工 + AI</t>
        </is>
      </c>
    </row>
    <row r="22" ht="22" customHeight="1">
      <c r="A22" s="5" t="inlineStr">
        <is>
          <t>现状总成本（基线）</t>
        </is>
      </c>
      <c r="B22" s="19">
        <f>'2-现状基线'!$C$9</f>
        <v/>
      </c>
      <c r="C22" s="19">
        <f>'2-现状基线'!$C$9</f>
        <v/>
      </c>
      <c r="D22" s="19">
        <f>'2-现状基线'!$C$9</f>
        <v/>
      </c>
      <c r="E22" s="10" t="inlineStr">
        <is>
          <t>对照</t>
        </is>
      </c>
    </row>
    <row r="23" ht="22" customHeight="1">
      <c r="A23" s="20" t="inlineStr">
        <is>
          <t>年度节省</t>
        </is>
      </c>
      <c r="B23" s="21">
        <f>B22-B21</f>
        <v/>
      </c>
      <c r="C23" s="21">
        <f>C22-C21</f>
        <v/>
      </c>
      <c r="D23" s="21">
        <f>D22-D21</f>
        <v/>
      </c>
      <c r="E23" s="10" t="inlineStr">
        <is>
          <t>正数 = 降本，负数 = 增本</t>
        </is>
      </c>
    </row>
    <row r="24" ht="22" customHeight="1">
      <c r="A24" s="20" t="inlineStr">
        <is>
          <t>降本率</t>
        </is>
      </c>
      <c r="B24" s="22">
        <f>B23/B22</f>
        <v/>
      </c>
      <c r="C24" s="22">
        <f>C23/C22</f>
        <v/>
      </c>
      <c r="D24" s="22">
        <f>D23/D22</f>
        <v/>
      </c>
      <c r="E24" s="10" t="inlineStr"/>
    </row>
    <row r="25" ht="22" customHeight="1">
      <c r="A25" s="20" t="inlineStr">
        <is>
          <t>新单次会话成本</t>
        </is>
      </c>
      <c r="B25" s="21">
        <f>B21/B4</f>
        <v/>
      </c>
      <c r="C25" s="21">
        <f>C21/C4</f>
        <v/>
      </c>
      <c r="D25" s="21">
        <f>D21/D4</f>
        <v/>
      </c>
      <c r="E25" s="10" t="inlineStr"/>
    </row>
    <row r="26" ht="22" customHeight="1">
      <c r="A26" s="5" t="inlineStr">
        <is>
          <t>原单次会话成本</t>
        </is>
      </c>
      <c r="B26" s="19">
        <f>'2-现状基线'!$C$10</f>
        <v/>
      </c>
      <c r="C26" s="19">
        <f>'2-现状基线'!$C$10</f>
        <v/>
      </c>
      <c r="D26" s="19">
        <f>'2-现状基线'!$C$10</f>
        <v/>
      </c>
      <c r="E26" s="10" t="inlineStr"/>
    </row>
    <row r="27" ht="22" customHeight="1">
      <c r="A27" s="20" t="inlineStr">
        <is>
          <t>单次会话成本降幅</t>
        </is>
      </c>
      <c r="B27" s="22">
        <f>(B26-B25)/B26</f>
        <v/>
      </c>
      <c r="C27" s="22">
        <f>(C26-C25)/C26</f>
        <v/>
      </c>
      <c r="D27" s="22">
        <f>(D26-D25)/D26</f>
        <v/>
      </c>
      <c r="E27" s="10" t="inlineStr">
        <is>
          <t>越大越好</t>
        </is>
      </c>
    </row>
    <row r="28" ht="22" customHeight="1">
      <c r="A28" s="5" t="inlineStr">
        <is>
          <t>预计 FCR（改造后）</t>
        </is>
      </c>
      <c r="B28" s="17">
        <f>'1-输入参数'!$C$18+'1-输入参数'!$C$32</f>
        <v/>
      </c>
      <c r="C28" s="17">
        <f>'1-输入参数'!$C$18+'1-输入参数'!$C$32</f>
        <v/>
      </c>
      <c r="D28" s="17">
        <f>'1-输入参数'!$C$18+'1-输入参数'!$C$32</f>
        <v/>
      </c>
      <c r="E28" s="10" t="inlineStr"/>
    </row>
    <row r="29" ht="22" customHeight="1">
      <c r="A29" s="5" t="inlineStr">
        <is>
          <t>质检覆盖率</t>
        </is>
      </c>
      <c r="B29" s="17">
        <f>'1-输入参数'!$C$30</f>
        <v/>
      </c>
      <c r="C29" s="17">
        <f>'1-输入参数'!$C$30</f>
        <v/>
      </c>
      <c r="D29" s="17">
        <f>'1-输入参数'!$C$30</f>
        <v/>
      </c>
      <c r="E29" s="10" t="inlineStr"/>
    </row>
    <row r="30" ht="22" customHeight="1">
      <c r="A30" s="5" t="inlineStr">
        <is>
          <t>CSAT（估算）</t>
        </is>
      </c>
      <c r="B30" s="17">
        <f>'1-输入参数'!$C$20+'1-输入参数'!$C$42*(1/3)</f>
        <v/>
      </c>
      <c r="C30" s="17">
        <f>'1-输入参数'!$C$20+'1-输入参数'!$C$42*(2/3)</f>
        <v/>
      </c>
      <c r="D30" s="17">
        <f>'1-输入参数'!$C$20+'1-输入参数'!$C$42*(3/3)</f>
        <v/>
      </c>
      <c r="E30" s="10" t="inlineStr">
        <is>
          <t>线性爬升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 ht="32" customHeight="1">
      <c r="A1" s="1" t="inlineStr">
        <is>
          <t>4. 分场景收益明细（Y3 成熟期口径）</t>
        </is>
      </c>
    </row>
    <row r="3" ht="26" customHeight="1">
      <c r="A3" s="2" t="inlineStr">
        <is>
          <t>场景</t>
        </is>
      </c>
      <c r="B3" s="2" t="inlineStr">
        <is>
          <t>覆盖比例</t>
        </is>
      </c>
      <c r="C3" s="2" t="inlineStr">
        <is>
          <t>单位成本降幅</t>
        </is>
      </c>
      <c r="D3" s="2" t="inlineStr">
        <is>
          <t>年节省(元)</t>
        </is>
      </c>
      <c r="E3" s="2" t="inlineStr">
        <is>
          <t>上线周期(月)</t>
        </is>
      </c>
      <c r="F3" s="2" t="inlineStr">
        <is>
          <t>实施难度</t>
        </is>
      </c>
      <c r="G3" s="2" t="inlineStr">
        <is>
          <t>说明</t>
        </is>
      </c>
    </row>
    <row r="4" ht="24" customHeight="1">
      <c r="A4" s="5" t="inlineStr">
        <is>
          <t>智能质检全检</t>
        </is>
      </c>
      <c r="B4" s="17">
        <f>'1-输入参数'!$C$30</f>
        <v/>
      </c>
      <c r="C4" s="17">
        <f>'1-输入参数'!$C$31</f>
        <v/>
      </c>
      <c r="D4" s="19">
        <f>'2-现状基线'!$C$7*'1-输入参数'!$C$31</f>
        <v/>
      </c>
      <c r="E4" s="23" t="n">
        <v>1</v>
      </c>
      <c r="F4" s="13" t="inlineStr">
        <is>
          <t>低</t>
        </is>
      </c>
      <c r="G4" s="10" t="inlineStr">
        <is>
          <t>最快见效，建议首选</t>
        </is>
      </c>
    </row>
    <row r="5" ht="24" customHeight="1">
      <c r="A5" s="5" t="inlineStr">
        <is>
          <t>坐席 Copilot（话术+检索+填单）</t>
        </is>
      </c>
      <c r="B5" s="17">
        <f>'1-输入参数'!$C$27</f>
        <v/>
      </c>
      <c r="C5" s="17">
        <f>('1-输入参数'!$C$16*'1-输入参数'!$C$28+'1-输入参数'!$C$17*'1-输入参数'!$C$29)/('1-输入参数'!$C$16+'1-输入参数'!$C$17)</f>
        <v/>
      </c>
      <c r="D5" s="19">
        <f>'2-现状基线'!$C$6*'1-输入参数'!$C$27*(('1-输入参数'!$C$16*'1-输入参数'!$C$28+'1-输入参数'!$C$17*'1-输入参数'!$C$29)/('1-输入参数'!$C$16+'1-输入参数'!$C$17))</f>
        <v/>
      </c>
      <c r="E5" s="23" t="n">
        <v>3</v>
      </c>
      <c r="F5" s="13" t="inlineStr">
        <is>
          <t>中</t>
        </is>
      </c>
      <c r="G5" s="10" t="inlineStr">
        <is>
          <t>AHT/ACW 压缩，坐席减员或承接更多量</t>
        </is>
      </c>
    </row>
    <row r="6" ht="24" customHeight="1">
      <c r="A6" s="5" t="inlineStr">
        <is>
          <t>RAG 智能自助（高频FAQ/查单/政策）</t>
        </is>
      </c>
      <c r="B6" s="17">
        <f>'1-输入参数'!$C$24-'1-输入参数'!$C$15</f>
        <v/>
      </c>
      <c r="C6" s="17">
        <f>1-'1-输入参数'!$C$34/'2-现状基线'!$C$10</f>
        <v/>
      </c>
      <c r="D6" s="19">
        <f>'2-现状基线'!$C$4*('1-输入参数'!$C$24-'1-输入参数'!$C$15)*('2-现状基线'!$C$10-'1-输入参数'!$C$34)</f>
        <v/>
      </c>
      <c r="E6" s="23" t="n">
        <v>3</v>
      </c>
      <c r="F6" s="13" t="inlineStr">
        <is>
          <t>中</t>
        </is>
      </c>
      <c r="G6" s="10" t="inlineStr">
        <is>
          <t>把简单咨询从人工转到 AI</t>
        </is>
      </c>
    </row>
    <row r="7" ht="24" customHeight="1">
      <c r="A7" s="5" t="inlineStr">
        <is>
          <t>会话摘要 + 工单自动生成</t>
        </is>
      </c>
      <c r="B7" s="17">
        <f>'1-输入参数'!$C$27</f>
        <v/>
      </c>
      <c r="C7" s="17">
        <f>'1-输入参数'!$C$17*'1-输入参数'!$C$29/('1-输入参数'!$C$16+'1-输入参数'!$C$17)</f>
        <v/>
      </c>
      <c r="D7" s="19">
        <f>'2-现状基线'!$C$6*'1-输入参数'!$C$27*('1-输入参数'!$C$17*'1-输入参数'!$C$29/('1-输入参数'!$C$16+'1-输入参数'!$C$17))</f>
        <v/>
      </c>
      <c r="E7" s="23" t="n">
        <v>2</v>
      </c>
      <c r="F7" s="13" t="inlineStr">
        <is>
          <t>低</t>
        </is>
      </c>
      <c r="G7" s="10" t="inlineStr">
        <is>
          <t>Copilot 的子项，已含在 Copilot 内，此处仅单独拆解参考</t>
        </is>
      </c>
    </row>
    <row r="8" ht="24" customHeight="1">
      <c r="A8" s="5" t="inlineStr">
        <is>
          <t>智能外呼/满意度回访</t>
        </is>
      </c>
      <c r="B8" s="17" t="n">
        <v>0.8</v>
      </c>
      <c r="C8" s="17" t="n">
        <v>0.7</v>
      </c>
      <c r="D8" s="19">
        <f>'2-现状基线'!$C$6*0.05*0.80*0.70</f>
        <v/>
      </c>
      <c r="E8" s="23" t="n">
        <v>2</v>
      </c>
      <c r="F8" s="13" t="inlineStr">
        <is>
          <t>低</t>
        </is>
      </c>
      <c r="G8" s="10" t="inlineStr">
        <is>
          <t>按坐席 5% 从事外呼估算</t>
        </is>
      </c>
    </row>
    <row r="9" ht="24" customHeight="1">
      <c r="A9" s="5" t="inlineStr">
        <is>
          <t>全自动 Agent 售后（调 API 闭环）</t>
        </is>
      </c>
      <c r="B9" s="17" t="n">
        <v>0.3</v>
      </c>
      <c r="C9" s="17" t="n">
        <v>0.6</v>
      </c>
      <c r="D9" s="19">
        <f>'2-现状基线'!$C$4*0.30*('2-现状基线'!$C$10-'1-输入参数'!$C$34)*0.6</f>
        <v/>
      </c>
      <c r="E9" s="23" t="n">
        <v>6</v>
      </c>
      <c r="F9" s="13" t="inlineStr">
        <is>
          <t>高</t>
        </is>
      </c>
      <c r="G9" s="10" t="inlineStr">
        <is>
          <t>需打通订单/支付/库存 API，第二期做</t>
        </is>
      </c>
    </row>
    <row r="10" ht="24" customHeight="1">
      <c r="A10" s="5" t="inlineStr">
        <is>
          <t>培训/陪练/知识沉淀（内部降本）</t>
        </is>
      </c>
      <c r="B10" s="17" t="n">
        <v>1</v>
      </c>
      <c r="C10" s="17" t="n">
        <v>0.3</v>
      </c>
      <c r="D10" s="19">
        <f>('2-现状基线'!$C$8*0.2)*0.30</f>
        <v/>
      </c>
      <c r="E10" s="23" t="n">
        <v>3</v>
      </c>
      <c r="F10" s="13" t="inlineStr">
        <is>
          <t>低</t>
        </is>
      </c>
      <c r="G10" s="10" t="inlineStr">
        <is>
          <t>缩短新人爬坡+节省培训人力</t>
        </is>
      </c>
    </row>
    <row r="11" ht="28" customHeight="1">
      <c r="A11" s="24" t="inlineStr">
        <is>
          <t>合计（估算，含重叠，见说明）</t>
        </is>
      </c>
      <c r="B11" s="25" t="inlineStr"/>
      <c r="C11" s="25" t="inlineStr"/>
      <c r="D11" s="21">
        <f>SUM(D4:D10)</f>
        <v/>
      </c>
      <c r="E11" s="25" t="inlineStr"/>
      <c r="F11" s="25" t="inlineStr"/>
      <c r="G11" s="10" t="inlineStr">
        <is>
          <t>此处为简单求和，Copilot 与'摘要'存在口径重叠，真实整合后应以 Sheet3 为准。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 ht="32" customHeight="1">
      <c r="A1" s="1" t="inlineStr">
        <is>
          <t>5. 三年现金流 / NPV / IRR / 回收期</t>
        </is>
      </c>
    </row>
    <row r="3" ht="26" customHeight="1">
      <c r="A3" s="2" t="inlineStr">
        <is>
          <t>项目</t>
        </is>
      </c>
      <c r="B3" s="2" t="inlineStr">
        <is>
          <t>Y0</t>
        </is>
      </c>
      <c r="C3" s="2" t="inlineStr">
        <is>
          <t>Y1</t>
        </is>
      </c>
      <c r="D3" s="2" t="inlineStr">
        <is>
          <t>Y2</t>
        </is>
      </c>
      <c r="E3" s="2" t="inlineStr">
        <is>
          <t>Y3</t>
        </is>
      </c>
      <c r="F3" s="2" t="inlineStr">
        <is>
          <t>说明</t>
        </is>
      </c>
    </row>
    <row r="4" ht="22" customHeight="1">
      <c r="A4" s="5" t="inlineStr">
        <is>
          <t>一次性投入（CapEx）</t>
        </is>
      </c>
      <c r="B4" s="19">
        <f>-'1-输入参数'!$C$36</f>
        <v/>
      </c>
      <c r="C4" s="19" t="n">
        <v>0</v>
      </c>
      <c r="D4" s="19" t="n">
        <v>0</v>
      </c>
      <c r="E4" s="19" t="n">
        <v>0</v>
      </c>
      <c r="F4" s="10" t="inlineStr">
        <is>
          <t>第 0 年项目投入</t>
        </is>
      </c>
    </row>
    <row r="5" ht="22" customHeight="1">
      <c r="A5" s="5" t="inlineStr">
        <is>
          <t>年度节省（OpEx 减少）</t>
        </is>
      </c>
      <c r="B5" s="19" t="n">
        <v>0</v>
      </c>
      <c r="C5" s="19">
        <f>'3-AI改造后测算'!B23</f>
        <v/>
      </c>
      <c r="D5" s="19">
        <f>'3-AI改造后测算'!C23</f>
        <v/>
      </c>
      <c r="E5" s="19">
        <f>'3-AI改造后测算'!D23</f>
        <v/>
      </c>
      <c r="F5" s="10" t="inlineStr">
        <is>
          <t>取自 Sheet3</t>
        </is>
      </c>
    </row>
    <row r="6" ht="22" customHeight="1">
      <c r="A6" s="5" t="inlineStr">
        <is>
          <t>软性收益估算（CSAT）</t>
        </is>
      </c>
      <c r="B6" s="19" t="n">
        <v>0</v>
      </c>
      <c r="C6" s="19">
        <f>'1-输入参数'!$C$41*'1-输入参数'!$C$42*100*(1/3)</f>
        <v/>
      </c>
      <c r="D6" s="19">
        <f>'1-输入参数'!$C$41*'1-输入参数'!$C$42*100*(2/3)</f>
        <v/>
      </c>
      <c r="E6" s="19">
        <f>'1-输入参数'!$C$41*'1-输入参数'!$C$42*100*(3/3)</f>
        <v/>
      </c>
      <c r="F6" s="10" t="inlineStr">
        <is>
          <t>可选，含义大CSAT不折现时置零</t>
        </is>
      </c>
    </row>
    <row r="7" ht="22" customHeight="1">
      <c r="A7" s="20" t="inlineStr">
        <is>
          <t>净现金流</t>
        </is>
      </c>
      <c r="B7" s="21">
        <f>B4+B5+B6</f>
        <v/>
      </c>
      <c r="C7" s="21">
        <f>C4+C5+C6</f>
        <v/>
      </c>
      <c r="D7" s="21">
        <f>D4+D5+D6</f>
        <v/>
      </c>
      <c r="E7" s="21">
        <f>E4+E5+E6</f>
        <v/>
      </c>
      <c r="F7" s="10" t="inlineStr">
        <is>
          <t>一次性+节省+软性</t>
        </is>
      </c>
    </row>
    <row r="8" ht="22" customHeight="1">
      <c r="A8" s="20" t="inlineStr">
        <is>
          <t>累计净现金流</t>
        </is>
      </c>
      <c r="B8" s="21">
        <f>B7</f>
        <v/>
      </c>
      <c r="C8" s="21">
        <f>B8+C7</f>
        <v/>
      </c>
      <c r="D8" s="21">
        <f>C8+D7</f>
        <v/>
      </c>
      <c r="E8" s="21">
        <f>D8+E7</f>
        <v/>
      </c>
      <c r="F8" s="10" t="inlineStr">
        <is>
          <t>首次转正年 = 回收期</t>
        </is>
      </c>
    </row>
    <row r="9" ht="22" customHeight="1">
      <c r="A9" s="20" t="inlineStr">
        <is>
          <t>折现净现金流</t>
        </is>
      </c>
      <c r="B9" s="19">
        <f>B7/(1+'1-输入参数'!$C$44)^0</f>
        <v/>
      </c>
      <c r="C9" s="19">
        <f>C7/(1+'1-输入参数'!$C$44)^1</f>
        <v/>
      </c>
      <c r="D9" s="19">
        <f>D7/(1+'1-输入参数'!$C$44)^2</f>
        <v/>
      </c>
      <c r="E9" s="19">
        <f>E7/(1+'1-输入参数'!$C$44)^3</f>
        <v/>
      </c>
      <c r="F9" s="10" t="inlineStr">
        <is>
          <t>按 WACC 折现到 Y0</t>
        </is>
      </c>
    </row>
    <row r="10" ht="22" customHeight="1">
      <c r="A10" s="20" t="inlineStr">
        <is>
          <t>累计折现净现金流</t>
        </is>
      </c>
      <c r="B10" s="21">
        <f>B9</f>
        <v/>
      </c>
      <c r="C10" s="21">
        <f>B10+C9</f>
        <v/>
      </c>
      <c r="D10" s="21">
        <f>C10+D9</f>
        <v/>
      </c>
      <c r="E10" s="21">
        <f>D10+E9</f>
        <v/>
      </c>
      <c r="F10" s="10" t="inlineStr">
        <is>
          <t>Y3 累计值 即 NPV（Y0→Y3）</t>
        </is>
      </c>
    </row>
    <row r="12">
      <c r="A12" s="26" t="inlineStr">
        <is>
          <t>关键财务指标</t>
        </is>
      </c>
    </row>
    <row r="13" ht="22" customHeight="1">
      <c r="A13" s="20" t="inlineStr">
        <is>
          <t>NPV（净现值）</t>
        </is>
      </c>
      <c r="B13" s="21">
        <f>E10</f>
        <v/>
      </c>
      <c r="C13" s="7" t="inlineStr"/>
      <c r="F13" s="10" t="inlineStr">
        <is>
          <t>越大越好；&gt;0 项目就值得做</t>
        </is>
      </c>
    </row>
    <row r="14" ht="22" customHeight="1">
      <c r="A14" s="20" t="inlineStr">
        <is>
          <t>IRR（内部收益率）</t>
        </is>
      </c>
      <c r="B14" s="22">
        <f>IFERROR(IRR(B7:E7),"需调整输入")</f>
        <v/>
      </c>
      <c r="C14" s="7" t="inlineStr"/>
      <c r="F14" s="10" t="inlineStr">
        <is>
          <t>行业经验 AI 项目 IRR &gt; 30% 算优秀</t>
        </is>
      </c>
    </row>
    <row r="15" ht="22" customHeight="1">
      <c r="A15" s="20" t="inlineStr">
        <is>
          <t>投资回收期（年，静态）</t>
        </is>
      </c>
      <c r="B15" s="27">
        <f>IFERROR(MATCH(TRUE,INDEX(B8:E8&gt;0,0),0)-1,"超3年")</f>
        <v/>
      </c>
      <c r="C15" s="7" t="inlineStr"/>
      <c r="F15" s="10" t="inlineStr">
        <is>
          <t>静态回收期，不折现</t>
        </is>
      </c>
    </row>
    <row r="16" ht="22" customHeight="1">
      <c r="A16" s="20" t="inlineStr">
        <is>
          <t>三年总节省（不含一次性）</t>
        </is>
      </c>
      <c r="B16" s="21">
        <f>SUM(C5:E5)+SUM(C6:E6)</f>
        <v/>
      </c>
      <c r="C16" s="7" t="inlineStr"/>
      <c r="F16" s="10" t="inlineStr"/>
    </row>
    <row r="17" ht="22" customHeight="1">
      <c r="A17" s="20" t="inlineStr">
        <is>
          <t>三年 ROI</t>
        </is>
      </c>
      <c r="B17" s="22">
        <f>(SUM(C5:E5)+SUM(C6:E6)+B4)/(-B4)</f>
        <v/>
      </c>
      <c r="C17" s="7" t="inlineStr"/>
      <c r="F17" s="10" t="inlineStr">
        <is>
          <t>（总收益 - 投入）/ 投入</t>
        </is>
      </c>
    </row>
  </sheetData>
  <mergeCells count="7">
    <mergeCell ref="C16:E16"/>
    <mergeCell ref="C14:E14"/>
    <mergeCell ref="C13:E13"/>
    <mergeCell ref="A1:F1"/>
    <mergeCell ref="C17:E17"/>
    <mergeCell ref="A12:F12"/>
    <mergeCell ref="C15:E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2" customHeight="1">
      <c r="A1" s="1" t="inlineStr">
        <is>
          <t>6. 敏感性分析：AI 承接率 × 单次 AI 成本 → Y3 年度节省</t>
        </is>
      </c>
    </row>
    <row r="3">
      <c r="A3" s="2" t="inlineStr">
        <is>
          <t>AI 承接率 Y3 ↓ / 单次AI成本 →</t>
        </is>
      </c>
      <c r="B3" s="28" t="n">
        <v>0.1</v>
      </c>
      <c r="C3" s="28" t="n">
        <v>0.2</v>
      </c>
      <c r="D3" s="28" t="n">
        <v>0.3</v>
      </c>
      <c r="E3" s="28" t="n">
        <v>0.4</v>
      </c>
      <c r="F3" s="28" t="n">
        <v>0.5</v>
      </c>
      <c r="G3" s="28" t="n">
        <v>0.7</v>
      </c>
      <c r="H3" s="28" t="n">
        <v>1</v>
      </c>
    </row>
    <row r="4">
      <c r="A4" s="11" t="n">
        <v>0.3</v>
      </c>
      <c r="B4" s="29">
        <f>('2-现状基线'!$C$9)-(('2-现状基线'!$C$4*(1-0.3)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-0.3)*('1-输入参数'!$C$16*(1-'1-输入参数'!$C$27*'1-输入参数'!$C$28)+'1-输入参数'!$C$17*(1-'1-输入参数'!$C$27*'1-输入参数'!$C$29)))/60/('1-输入参数'!$C$8*12))/'1-输入参数'!$C$6)-('2-现状基线'!$C$4*0.3*0.1)-'1-输入参数'!$C$35-'1-输入参数'!$C$37*'1-输入参数'!$C$38*12-'1-输入参数'!$C$39</f>
        <v/>
      </c>
      <c r="C4" s="29">
        <f>('2-现状基线'!$C$9)-(('2-现状基线'!$C$4*(1-0.3)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-0.3)*('1-输入参数'!$C$16*(1-'1-输入参数'!$C$27*'1-输入参数'!$C$28)+'1-输入参数'!$C$17*(1-'1-输入参数'!$C$27*'1-输入参数'!$C$29)))/60/('1-输入参数'!$C$8*12))/'1-输入参数'!$C$6)-('2-现状基线'!$C$4*0.3*0.2)-'1-输入参数'!$C$35-'1-输入参数'!$C$37*'1-输入参数'!$C$38*12-'1-输入参数'!$C$39</f>
        <v/>
      </c>
      <c r="D4" s="29">
        <f>('2-现状基线'!$C$9)-(('2-现状基线'!$C$4*(1-0.3)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-0.3)*('1-输入参数'!$C$16*(1-'1-输入参数'!$C$27*'1-输入参数'!$C$28)+'1-输入参数'!$C$17*(1-'1-输入参数'!$C$27*'1-输入参数'!$C$29)))/60/('1-输入参数'!$C$8*12))/'1-输入参数'!$C$6)-('2-现状基线'!$C$4*0.3*0.3)-'1-输入参数'!$C$35-'1-输入参数'!$C$37*'1-输入参数'!$C$38*12-'1-输入参数'!$C$39</f>
        <v/>
      </c>
      <c r="E4" s="29">
        <f>('2-现状基线'!$C$9)-(('2-现状基线'!$C$4*(1-0.3)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-0.3)*('1-输入参数'!$C$16*(1-'1-输入参数'!$C$27*'1-输入参数'!$C$28)+'1-输入参数'!$C$17*(1-'1-输入参数'!$C$27*'1-输入参数'!$C$29)))/60/('1-输入参数'!$C$8*12))/'1-输入参数'!$C$6)-('2-现状基线'!$C$4*0.3*0.4)-'1-输入参数'!$C$35-'1-输入参数'!$C$37*'1-输入参数'!$C$38*12-'1-输入参数'!$C$39</f>
        <v/>
      </c>
      <c r="F4" s="29">
        <f>('2-现状基线'!$C$9)-(('2-现状基线'!$C$4*(1-0.3)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-0.3)*('1-输入参数'!$C$16*(1-'1-输入参数'!$C$27*'1-输入参数'!$C$28)+'1-输入参数'!$C$17*(1-'1-输入参数'!$C$27*'1-输入参数'!$C$29)))/60/('1-输入参数'!$C$8*12))/'1-输入参数'!$C$6)-('2-现状基线'!$C$4*0.3*0.5)-'1-输入参数'!$C$35-'1-输入参数'!$C$37*'1-输入参数'!$C$38*12-'1-输入参数'!$C$39</f>
        <v/>
      </c>
      <c r="G4" s="29">
        <f>('2-现状基线'!$C$9)-(('2-现状基线'!$C$4*(1-0.3)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-0.3)*('1-输入参数'!$C$16*(1-'1-输入参数'!$C$27*'1-输入参数'!$C$28)+'1-输入参数'!$C$17*(1-'1-输入参数'!$C$27*'1-输入参数'!$C$29)))/60/('1-输入参数'!$C$8*12))/'1-输入参数'!$C$6)-('2-现状基线'!$C$4*0.3*0.7)-'1-输入参数'!$C$35-'1-输入参数'!$C$37*'1-输入参数'!$C$38*12-'1-输入参数'!$C$39</f>
        <v/>
      </c>
      <c r="H4" s="29">
        <f>('2-现状基线'!$C$9)-(('2-现状基线'!$C$4*(1-0.3)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-0.3)*('1-输入参数'!$C$16*(1-'1-输入参数'!$C$27*'1-输入参数'!$C$28)+'1-输入参数'!$C$17*(1-'1-输入参数'!$C$27*'1-输入参数'!$C$29)))/60/('1-输入参数'!$C$8*12))/'1-输入参数'!$C$6)-('2-现状基线'!$C$4*0.3*1.0)-'1-输入参数'!$C$35-'1-输入参数'!$C$37*'1-输入参数'!$C$38*12-'1-输入参数'!$C$39</f>
        <v/>
      </c>
    </row>
    <row r="5">
      <c r="A5" s="11" t="n">
        <v>0.4</v>
      </c>
      <c r="B5" s="29">
        <f>('2-现状基线'!$C$9)-(('2-现状基线'!$C$4*(1-0.4)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-0.4)*('1-输入参数'!$C$16*(1-'1-输入参数'!$C$27*'1-输入参数'!$C$28)+'1-输入参数'!$C$17*(1-'1-输入参数'!$C$27*'1-输入参数'!$C$29)))/60/('1-输入参数'!$C$8*12))/'1-输入参数'!$C$6)-('2-现状基线'!$C$4*0.4*0.1)-'1-输入参数'!$C$35-'1-输入参数'!$C$37*'1-输入参数'!$C$38*12-'1-输入参数'!$C$39</f>
        <v/>
      </c>
      <c r="C5" s="29">
        <f>('2-现状基线'!$C$9)-(('2-现状基线'!$C$4*(1-0.4)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-0.4)*('1-输入参数'!$C$16*(1-'1-输入参数'!$C$27*'1-输入参数'!$C$28)+'1-输入参数'!$C$17*(1-'1-输入参数'!$C$27*'1-输入参数'!$C$29)))/60/('1-输入参数'!$C$8*12))/'1-输入参数'!$C$6)-('2-现状基线'!$C$4*0.4*0.2)-'1-输入参数'!$C$35-'1-输入参数'!$C$37*'1-输入参数'!$C$38*12-'1-输入参数'!$C$39</f>
        <v/>
      </c>
      <c r="D5" s="29">
        <f>('2-现状基线'!$C$9)-(('2-现状基线'!$C$4*(1-0.4)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-0.4)*('1-输入参数'!$C$16*(1-'1-输入参数'!$C$27*'1-输入参数'!$C$28)+'1-输入参数'!$C$17*(1-'1-输入参数'!$C$27*'1-输入参数'!$C$29)))/60/('1-输入参数'!$C$8*12))/'1-输入参数'!$C$6)-('2-现状基线'!$C$4*0.4*0.3)-'1-输入参数'!$C$35-'1-输入参数'!$C$37*'1-输入参数'!$C$38*12-'1-输入参数'!$C$39</f>
        <v/>
      </c>
      <c r="E5" s="29">
        <f>('2-现状基线'!$C$9)-(('2-现状基线'!$C$4*(1-0.4)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-0.4)*('1-输入参数'!$C$16*(1-'1-输入参数'!$C$27*'1-输入参数'!$C$28)+'1-输入参数'!$C$17*(1-'1-输入参数'!$C$27*'1-输入参数'!$C$29)))/60/('1-输入参数'!$C$8*12))/'1-输入参数'!$C$6)-('2-现状基线'!$C$4*0.4*0.4)-'1-输入参数'!$C$35-'1-输入参数'!$C$37*'1-输入参数'!$C$38*12-'1-输入参数'!$C$39</f>
        <v/>
      </c>
      <c r="F5" s="29">
        <f>('2-现状基线'!$C$9)-(('2-现状基线'!$C$4*(1-0.4)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-0.4)*('1-输入参数'!$C$16*(1-'1-输入参数'!$C$27*'1-输入参数'!$C$28)+'1-输入参数'!$C$17*(1-'1-输入参数'!$C$27*'1-输入参数'!$C$29)))/60/('1-输入参数'!$C$8*12))/'1-输入参数'!$C$6)-('2-现状基线'!$C$4*0.4*0.5)-'1-输入参数'!$C$35-'1-输入参数'!$C$37*'1-输入参数'!$C$38*12-'1-输入参数'!$C$39</f>
        <v/>
      </c>
      <c r="G5" s="29">
        <f>('2-现状基线'!$C$9)-(('2-现状基线'!$C$4*(1-0.4)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-0.4)*('1-输入参数'!$C$16*(1-'1-输入参数'!$C$27*'1-输入参数'!$C$28)+'1-输入参数'!$C$17*(1-'1-输入参数'!$C$27*'1-输入参数'!$C$29)))/60/('1-输入参数'!$C$8*12))/'1-输入参数'!$C$6)-('2-现状基线'!$C$4*0.4*0.7)-'1-输入参数'!$C$35-'1-输入参数'!$C$37*'1-输入参数'!$C$38*12-'1-输入参数'!$C$39</f>
        <v/>
      </c>
      <c r="H5" s="29">
        <f>('2-现状基线'!$C$9)-(('2-现状基线'!$C$4*(1-0.4)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-0.4)*('1-输入参数'!$C$16*(1-'1-输入参数'!$C$27*'1-输入参数'!$C$28)+'1-输入参数'!$C$17*(1-'1-输入参数'!$C$27*'1-输入参数'!$C$29)))/60/('1-输入参数'!$C$8*12))/'1-输入参数'!$C$6)-('2-现状基线'!$C$4*0.4*1.0)-'1-输入参数'!$C$35-'1-输入参数'!$C$37*'1-输入参数'!$C$38*12-'1-输入参数'!$C$39</f>
        <v/>
      </c>
    </row>
    <row r="6">
      <c r="A6" s="11" t="n">
        <v>0.5</v>
      </c>
      <c r="B6" s="29">
        <f>('2-现状基线'!$C$9)-(('2-现状基线'!$C$4*(1-0.5)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-0.5)*('1-输入参数'!$C$16*(1-'1-输入参数'!$C$27*'1-输入参数'!$C$28)+'1-输入参数'!$C$17*(1-'1-输入参数'!$C$27*'1-输入参数'!$C$29)))/60/('1-输入参数'!$C$8*12))/'1-输入参数'!$C$6)-('2-现状基线'!$C$4*0.5*0.1)-'1-输入参数'!$C$35-'1-输入参数'!$C$37*'1-输入参数'!$C$38*12-'1-输入参数'!$C$39</f>
        <v/>
      </c>
      <c r="C6" s="29">
        <f>('2-现状基线'!$C$9)-(('2-现状基线'!$C$4*(1-0.5)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-0.5)*('1-输入参数'!$C$16*(1-'1-输入参数'!$C$27*'1-输入参数'!$C$28)+'1-输入参数'!$C$17*(1-'1-输入参数'!$C$27*'1-输入参数'!$C$29)))/60/('1-输入参数'!$C$8*12))/'1-输入参数'!$C$6)-('2-现状基线'!$C$4*0.5*0.2)-'1-输入参数'!$C$35-'1-输入参数'!$C$37*'1-输入参数'!$C$38*12-'1-输入参数'!$C$39</f>
        <v/>
      </c>
      <c r="D6" s="29">
        <f>('2-现状基线'!$C$9)-(('2-现状基线'!$C$4*(1-0.5)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-0.5)*('1-输入参数'!$C$16*(1-'1-输入参数'!$C$27*'1-输入参数'!$C$28)+'1-输入参数'!$C$17*(1-'1-输入参数'!$C$27*'1-输入参数'!$C$29)))/60/('1-输入参数'!$C$8*12))/'1-输入参数'!$C$6)-('2-现状基线'!$C$4*0.5*0.3)-'1-输入参数'!$C$35-'1-输入参数'!$C$37*'1-输入参数'!$C$38*12-'1-输入参数'!$C$39</f>
        <v/>
      </c>
      <c r="E6" s="29">
        <f>('2-现状基线'!$C$9)-(('2-现状基线'!$C$4*(1-0.5)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-0.5)*('1-输入参数'!$C$16*(1-'1-输入参数'!$C$27*'1-输入参数'!$C$28)+'1-输入参数'!$C$17*(1-'1-输入参数'!$C$27*'1-输入参数'!$C$29)))/60/('1-输入参数'!$C$8*12))/'1-输入参数'!$C$6)-('2-现状基线'!$C$4*0.5*0.4)-'1-输入参数'!$C$35-'1-输入参数'!$C$37*'1-输入参数'!$C$38*12-'1-输入参数'!$C$39</f>
        <v/>
      </c>
      <c r="F6" s="29">
        <f>('2-现状基线'!$C$9)-(('2-现状基线'!$C$4*(1-0.5)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-0.5)*('1-输入参数'!$C$16*(1-'1-输入参数'!$C$27*'1-输入参数'!$C$28)+'1-输入参数'!$C$17*(1-'1-输入参数'!$C$27*'1-输入参数'!$C$29)))/60/('1-输入参数'!$C$8*12))/'1-输入参数'!$C$6)-('2-现状基线'!$C$4*0.5*0.5)-'1-输入参数'!$C$35-'1-输入参数'!$C$37*'1-输入参数'!$C$38*12-'1-输入参数'!$C$39</f>
        <v/>
      </c>
      <c r="G6" s="29">
        <f>('2-现状基线'!$C$9)-(('2-现状基线'!$C$4*(1-0.5)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-0.5)*('1-输入参数'!$C$16*(1-'1-输入参数'!$C$27*'1-输入参数'!$C$28)+'1-输入参数'!$C$17*(1-'1-输入参数'!$C$27*'1-输入参数'!$C$29)))/60/('1-输入参数'!$C$8*12))/'1-输入参数'!$C$6)-('2-现状基线'!$C$4*0.5*0.7)-'1-输入参数'!$C$35-'1-输入参数'!$C$37*'1-输入参数'!$C$38*12-'1-输入参数'!$C$39</f>
        <v/>
      </c>
      <c r="H6" s="29">
        <f>('2-现状基线'!$C$9)-(('2-现状基线'!$C$4*(1-0.5)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-0.5)*('1-输入参数'!$C$16*(1-'1-输入参数'!$C$27*'1-输入参数'!$C$28)+'1-输入参数'!$C$17*(1-'1-输入参数'!$C$27*'1-输入参数'!$C$29)))/60/('1-输入参数'!$C$8*12))/'1-输入参数'!$C$6)-('2-现状基线'!$C$4*0.5*1.0)-'1-输入参数'!$C$35-'1-输入参数'!$C$37*'1-输入参数'!$C$38*12-'1-输入参数'!$C$39</f>
        <v/>
      </c>
    </row>
    <row r="7">
      <c r="A7" s="11" t="n">
        <v>0.6</v>
      </c>
      <c r="B7" s="29">
        <f>('2-现状基线'!$C$9)-(('2-现状基线'!$C$4*(1-0.6)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-0.6)*('1-输入参数'!$C$16*(1-'1-输入参数'!$C$27*'1-输入参数'!$C$28)+'1-输入参数'!$C$17*(1-'1-输入参数'!$C$27*'1-输入参数'!$C$29)))/60/('1-输入参数'!$C$8*12))/'1-输入参数'!$C$6)-('2-现状基线'!$C$4*0.6*0.1)-'1-输入参数'!$C$35-'1-输入参数'!$C$37*'1-输入参数'!$C$38*12-'1-输入参数'!$C$39</f>
        <v/>
      </c>
      <c r="C7" s="29">
        <f>('2-现状基线'!$C$9)-(('2-现状基线'!$C$4*(1-0.6)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-0.6)*('1-输入参数'!$C$16*(1-'1-输入参数'!$C$27*'1-输入参数'!$C$28)+'1-输入参数'!$C$17*(1-'1-输入参数'!$C$27*'1-输入参数'!$C$29)))/60/('1-输入参数'!$C$8*12))/'1-输入参数'!$C$6)-('2-现状基线'!$C$4*0.6*0.2)-'1-输入参数'!$C$35-'1-输入参数'!$C$37*'1-输入参数'!$C$38*12-'1-输入参数'!$C$39</f>
        <v/>
      </c>
      <c r="D7" s="29">
        <f>('2-现状基线'!$C$9)-(('2-现状基线'!$C$4*(1-0.6)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-0.6)*('1-输入参数'!$C$16*(1-'1-输入参数'!$C$27*'1-输入参数'!$C$28)+'1-输入参数'!$C$17*(1-'1-输入参数'!$C$27*'1-输入参数'!$C$29)))/60/('1-输入参数'!$C$8*12))/'1-输入参数'!$C$6)-('2-现状基线'!$C$4*0.6*0.3)-'1-输入参数'!$C$35-'1-输入参数'!$C$37*'1-输入参数'!$C$38*12-'1-输入参数'!$C$39</f>
        <v/>
      </c>
      <c r="E7" s="29">
        <f>('2-现状基线'!$C$9)-(('2-现状基线'!$C$4*(1-0.6)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-0.6)*('1-输入参数'!$C$16*(1-'1-输入参数'!$C$27*'1-输入参数'!$C$28)+'1-输入参数'!$C$17*(1-'1-输入参数'!$C$27*'1-输入参数'!$C$29)))/60/('1-输入参数'!$C$8*12))/'1-输入参数'!$C$6)-('2-现状基线'!$C$4*0.6*0.4)-'1-输入参数'!$C$35-'1-输入参数'!$C$37*'1-输入参数'!$C$38*12-'1-输入参数'!$C$39</f>
        <v/>
      </c>
      <c r="F7" s="29">
        <f>('2-现状基线'!$C$9)-(('2-现状基线'!$C$4*(1-0.6)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-0.6)*('1-输入参数'!$C$16*(1-'1-输入参数'!$C$27*'1-输入参数'!$C$28)+'1-输入参数'!$C$17*(1-'1-输入参数'!$C$27*'1-输入参数'!$C$29)))/60/('1-输入参数'!$C$8*12))/'1-输入参数'!$C$6)-('2-现状基线'!$C$4*0.6*0.5)-'1-输入参数'!$C$35-'1-输入参数'!$C$37*'1-输入参数'!$C$38*12-'1-输入参数'!$C$39</f>
        <v/>
      </c>
      <c r="G7" s="29">
        <f>('2-现状基线'!$C$9)-(('2-现状基线'!$C$4*(1-0.6)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-0.6)*('1-输入参数'!$C$16*(1-'1-输入参数'!$C$27*'1-输入参数'!$C$28)+'1-输入参数'!$C$17*(1-'1-输入参数'!$C$27*'1-输入参数'!$C$29)))/60/('1-输入参数'!$C$8*12))/'1-输入参数'!$C$6)-('2-现状基线'!$C$4*0.6*0.7)-'1-输入参数'!$C$35-'1-输入参数'!$C$37*'1-输入参数'!$C$38*12-'1-输入参数'!$C$39</f>
        <v/>
      </c>
      <c r="H7" s="29">
        <f>('2-现状基线'!$C$9)-(('2-现状基线'!$C$4*(1-0.6)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-0.6)*('1-输入参数'!$C$16*(1-'1-输入参数'!$C$27*'1-输入参数'!$C$28)+'1-输入参数'!$C$17*(1-'1-输入参数'!$C$27*'1-输入参数'!$C$29)))/60/('1-输入参数'!$C$8*12))/'1-输入参数'!$C$6)-('2-现状基线'!$C$4*0.6*1.0)-'1-输入参数'!$C$35-'1-输入参数'!$C$37*'1-输入参数'!$C$38*12-'1-输入参数'!$C$39</f>
        <v/>
      </c>
    </row>
    <row r="8">
      <c r="A8" s="11" t="n">
        <v>0.7</v>
      </c>
      <c r="B8" s="29">
        <f>('2-现状基线'!$C$9)-(('2-现状基线'!$C$4*(1-0.7)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-0.7)*('1-输入参数'!$C$16*(1-'1-输入参数'!$C$27*'1-输入参数'!$C$28)+'1-输入参数'!$C$17*(1-'1-输入参数'!$C$27*'1-输入参数'!$C$29)))/60/('1-输入参数'!$C$8*12))/'1-输入参数'!$C$6)-('2-现状基线'!$C$4*0.7*0.1)-'1-输入参数'!$C$35-'1-输入参数'!$C$37*'1-输入参数'!$C$38*12-'1-输入参数'!$C$39</f>
        <v/>
      </c>
      <c r="C8" s="29">
        <f>('2-现状基线'!$C$9)-(('2-现状基线'!$C$4*(1-0.7)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-0.7)*('1-输入参数'!$C$16*(1-'1-输入参数'!$C$27*'1-输入参数'!$C$28)+'1-输入参数'!$C$17*(1-'1-输入参数'!$C$27*'1-输入参数'!$C$29)))/60/('1-输入参数'!$C$8*12))/'1-输入参数'!$C$6)-('2-现状基线'!$C$4*0.7*0.2)-'1-输入参数'!$C$35-'1-输入参数'!$C$37*'1-输入参数'!$C$38*12-'1-输入参数'!$C$39</f>
        <v/>
      </c>
      <c r="D8" s="29">
        <f>('2-现状基线'!$C$9)-(('2-现状基线'!$C$4*(1-0.7)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-0.7)*('1-输入参数'!$C$16*(1-'1-输入参数'!$C$27*'1-输入参数'!$C$28)+'1-输入参数'!$C$17*(1-'1-输入参数'!$C$27*'1-输入参数'!$C$29)))/60/('1-输入参数'!$C$8*12))/'1-输入参数'!$C$6)-('2-现状基线'!$C$4*0.7*0.3)-'1-输入参数'!$C$35-'1-输入参数'!$C$37*'1-输入参数'!$C$38*12-'1-输入参数'!$C$39</f>
        <v/>
      </c>
      <c r="E8" s="29">
        <f>('2-现状基线'!$C$9)-(('2-现状基线'!$C$4*(1-0.7)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-0.7)*('1-输入参数'!$C$16*(1-'1-输入参数'!$C$27*'1-输入参数'!$C$28)+'1-输入参数'!$C$17*(1-'1-输入参数'!$C$27*'1-输入参数'!$C$29)))/60/('1-输入参数'!$C$8*12))/'1-输入参数'!$C$6)-('2-现状基线'!$C$4*0.7*0.4)-'1-输入参数'!$C$35-'1-输入参数'!$C$37*'1-输入参数'!$C$38*12-'1-输入参数'!$C$39</f>
        <v/>
      </c>
      <c r="F8" s="29">
        <f>('2-现状基线'!$C$9)-(('2-现状基线'!$C$4*(1-0.7)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-0.7)*('1-输入参数'!$C$16*(1-'1-输入参数'!$C$27*'1-输入参数'!$C$28)+'1-输入参数'!$C$17*(1-'1-输入参数'!$C$27*'1-输入参数'!$C$29)))/60/('1-输入参数'!$C$8*12))/'1-输入参数'!$C$6)-('2-现状基线'!$C$4*0.7*0.5)-'1-输入参数'!$C$35-'1-输入参数'!$C$37*'1-输入参数'!$C$38*12-'1-输入参数'!$C$39</f>
        <v/>
      </c>
      <c r="G8" s="29">
        <f>('2-现状基线'!$C$9)-(('2-现状基线'!$C$4*(1-0.7)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-0.7)*('1-输入参数'!$C$16*(1-'1-输入参数'!$C$27*'1-输入参数'!$C$28)+'1-输入参数'!$C$17*(1-'1-输入参数'!$C$27*'1-输入参数'!$C$29)))/60/('1-输入参数'!$C$8*12))/'1-输入参数'!$C$6)-('2-现状基线'!$C$4*0.7*0.7)-'1-输入参数'!$C$35-'1-输入参数'!$C$37*'1-输入参数'!$C$38*12-'1-输入参数'!$C$39</f>
        <v/>
      </c>
      <c r="H8" s="29">
        <f>('2-现状基线'!$C$9)-(('2-现状基线'!$C$4*(1-0.7)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-0.7)*('1-输入参数'!$C$16*(1-'1-输入参数'!$C$27*'1-输入参数'!$C$28)+'1-输入参数'!$C$17*(1-'1-输入参数'!$C$27*'1-输入参数'!$C$29)))/60/('1-输入参数'!$C$8*12))/'1-输入参数'!$C$6)-('2-现状基线'!$C$4*0.7*1.0)-'1-输入参数'!$C$35-'1-输入参数'!$C$37*'1-输入参数'!$C$38*12-'1-输入参数'!$C$39</f>
        <v/>
      </c>
    </row>
    <row r="9">
      <c r="A9" s="11" t="n">
        <v>0.8</v>
      </c>
      <c r="B9" s="29">
        <f>('2-现状基线'!$C$9)-(('2-现状基线'!$C$4*(1-0.8)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-0.8)*('1-输入参数'!$C$16*(1-'1-输入参数'!$C$27*'1-输入参数'!$C$28)+'1-输入参数'!$C$17*(1-'1-输入参数'!$C$27*'1-输入参数'!$C$29)))/60/('1-输入参数'!$C$8*12))/'1-输入参数'!$C$6)-('2-现状基线'!$C$4*0.8*0.1)-'1-输入参数'!$C$35-'1-输入参数'!$C$37*'1-输入参数'!$C$38*12-'1-输入参数'!$C$39</f>
        <v/>
      </c>
      <c r="C9" s="29">
        <f>('2-现状基线'!$C$9)-(('2-现状基线'!$C$4*(1-0.8)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-0.8)*('1-输入参数'!$C$16*(1-'1-输入参数'!$C$27*'1-输入参数'!$C$28)+'1-输入参数'!$C$17*(1-'1-输入参数'!$C$27*'1-输入参数'!$C$29)))/60/('1-输入参数'!$C$8*12))/'1-输入参数'!$C$6)-('2-现状基线'!$C$4*0.8*0.2)-'1-输入参数'!$C$35-'1-输入参数'!$C$37*'1-输入参数'!$C$38*12-'1-输入参数'!$C$39</f>
        <v/>
      </c>
      <c r="D9" s="29">
        <f>('2-现状基线'!$C$9)-(('2-现状基线'!$C$4*(1-0.8)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-0.8)*('1-输入参数'!$C$16*(1-'1-输入参数'!$C$27*'1-输入参数'!$C$28)+'1-输入参数'!$C$17*(1-'1-输入参数'!$C$27*'1-输入参数'!$C$29)))/60/('1-输入参数'!$C$8*12))/'1-输入参数'!$C$6)-('2-现状基线'!$C$4*0.8*0.3)-'1-输入参数'!$C$35-'1-输入参数'!$C$37*'1-输入参数'!$C$38*12-'1-输入参数'!$C$39</f>
        <v/>
      </c>
      <c r="E9" s="29">
        <f>('2-现状基线'!$C$9)-(('2-现状基线'!$C$4*(1-0.8)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-0.8)*('1-输入参数'!$C$16*(1-'1-输入参数'!$C$27*'1-输入参数'!$C$28)+'1-输入参数'!$C$17*(1-'1-输入参数'!$C$27*'1-输入参数'!$C$29)))/60/('1-输入参数'!$C$8*12))/'1-输入参数'!$C$6)-('2-现状基线'!$C$4*0.8*0.4)-'1-输入参数'!$C$35-'1-输入参数'!$C$37*'1-输入参数'!$C$38*12-'1-输入参数'!$C$39</f>
        <v/>
      </c>
      <c r="F9" s="29">
        <f>('2-现状基线'!$C$9)-(('2-现状基线'!$C$4*(1-0.8)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-0.8)*('1-输入参数'!$C$16*(1-'1-输入参数'!$C$27*'1-输入参数'!$C$28)+'1-输入参数'!$C$17*(1-'1-输入参数'!$C$27*'1-输入参数'!$C$29)))/60/('1-输入参数'!$C$8*12))/'1-输入参数'!$C$6)-('2-现状基线'!$C$4*0.8*0.5)-'1-输入参数'!$C$35-'1-输入参数'!$C$37*'1-输入参数'!$C$38*12-'1-输入参数'!$C$39</f>
        <v/>
      </c>
      <c r="G9" s="29">
        <f>('2-现状基线'!$C$9)-(('2-现状基线'!$C$4*(1-0.8)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-0.8)*('1-输入参数'!$C$16*(1-'1-输入参数'!$C$27*'1-输入参数'!$C$28)+'1-输入参数'!$C$17*(1-'1-输入参数'!$C$27*'1-输入参数'!$C$29)))/60/('1-输入参数'!$C$8*12))/'1-输入参数'!$C$6)-('2-现状基线'!$C$4*0.8*0.7)-'1-输入参数'!$C$35-'1-输入参数'!$C$37*'1-输入参数'!$C$38*12-'1-输入参数'!$C$39</f>
        <v/>
      </c>
      <c r="H9" s="29">
        <f>('2-现状基线'!$C$9)-(('2-现状基线'!$C$4*(1-0.8)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-0.8)*('1-输入参数'!$C$16*(1-'1-输入参数'!$C$27*'1-输入参数'!$C$28)+'1-输入参数'!$C$17*(1-'1-输入参数'!$C$27*'1-输入参数'!$C$29)))/60/('1-输入参数'!$C$8*12))/'1-输入参数'!$C$6)-('2-现状基线'!$C$4*0.8*1.0)-'1-输入参数'!$C$35-'1-输入参数'!$C$37*'1-输入参数'!$C$38*12-'1-输入参数'!$C$39</f>
        <v/>
      </c>
    </row>
    <row r="10">
      <c r="A10" s="11" t="n">
        <v>0.9</v>
      </c>
      <c r="B10" s="29">
        <f>('2-现状基线'!$C$9)-(('2-现状基线'!$C$4*(1-0.9)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-0.9)*('1-输入参数'!$C$16*(1-'1-输入参数'!$C$27*'1-输入参数'!$C$28)+'1-输入参数'!$C$17*(1-'1-输入参数'!$C$27*'1-输入参数'!$C$29)))/60/('1-输入参数'!$C$8*12))/'1-输入参数'!$C$6)-('2-现状基线'!$C$4*0.9*0.1)-'1-输入参数'!$C$35-'1-输入参数'!$C$37*'1-输入参数'!$C$38*12-'1-输入参数'!$C$39</f>
        <v/>
      </c>
      <c r="C10" s="29">
        <f>('2-现状基线'!$C$9)-(('2-现状基线'!$C$4*(1-0.9)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-0.9)*('1-输入参数'!$C$16*(1-'1-输入参数'!$C$27*'1-输入参数'!$C$28)+'1-输入参数'!$C$17*(1-'1-输入参数'!$C$27*'1-输入参数'!$C$29)))/60/('1-输入参数'!$C$8*12))/'1-输入参数'!$C$6)-('2-现状基线'!$C$4*0.9*0.2)-'1-输入参数'!$C$35-'1-输入参数'!$C$37*'1-输入参数'!$C$38*12-'1-输入参数'!$C$39</f>
        <v/>
      </c>
      <c r="D10" s="29">
        <f>('2-现状基线'!$C$9)-(('2-现状基线'!$C$4*(1-0.9)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-0.9)*('1-输入参数'!$C$16*(1-'1-输入参数'!$C$27*'1-输入参数'!$C$28)+'1-输入参数'!$C$17*(1-'1-输入参数'!$C$27*'1-输入参数'!$C$29)))/60/('1-输入参数'!$C$8*12))/'1-输入参数'!$C$6)-('2-现状基线'!$C$4*0.9*0.3)-'1-输入参数'!$C$35-'1-输入参数'!$C$37*'1-输入参数'!$C$38*12-'1-输入参数'!$C$39</f>
        <v/>
      </c>
      <c r="E10" s="29">
        <f>('2-现状基线'!$C$9)-(('2-现状基线'!$C$4*(1-0.9)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-0.9)*('1-输入参数'!$C$16*(1-'1-输入参数'!$C$27*'1-输入参数'!$C$28)+'1-输入参数'!$C$17*(1-'1-输入参数'!$C$27*'1-输入参数'!$C$29)))/60/('1-输入参数'!$C$8*12))/'1-输入参数'!$C$6)-('2-现状基线'!$C$4*0.9*0.4)-'1-输入参数'!$C$35-'1-输入参数'!$C$37*'1-输入参数'!$C$38*12-'1-输入参数'!$C$39</f>
        <v/>
      </c>
      <c r="F10" s="29">
        <f>('2-现状基线'!$C$9)-(('2-现状基线'!$C$4*(1-0.9)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-0.9)*('1-输入参数'!$C$16*(1-'1-输入参数'!$C$27*'1-输入参数'!$C$28)+'1-输入参数'!$C$17*(1-'1-输入参数'!$C$27*'1-输入参数'!$C$29)))/60/('1-输入参数'!$C$8*12))/'1-输入参数'!$C$6)-('2-现状基线'!$C$4*0.9*0.5)-'1-输入参数'!$C$35-'1-输入参数'!$C$37*'1-输入参数'!$C$38*12-'1-输入参数'!$C$39</f>
        <v/>
      </c>
      <c r="G10" s="29">
        <f>('2-现状基线'!$C$9)-(('2-现状基线'!$C$4*(1-0.9)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-0.9)*('1-输入参数'!$C$16*(1-'1-输入参数'!$C$27*'1-输入参数'!$C$28)+'1-输入参数'!$C$17*(1-'1-输入参数'!$C$27*'1-输入参数'!$C$29)))/60/('1-输入参数'!$C$8*12))/'1-输入参数'!$C$6)-('2-现状基线'!$C$4*0.9*0.7)-'1-输入参数'!$C$35-'1-输入参数'!$C$37*'1-输入参数'!$C$38*12-'1-输入参数'!$C$39</f>
        <v/>
      </c>
      <c r="H10" s="29">
        <f>('2-现状基线'!$C$9)-(('2-现状基线'!$C$4*(1-0.9)*('1-输入参数'!$C$16*(1-'1-输入参数'!$C$27*'1-输入参数'!$C$28)+'1-输入参数'!$C$17*(1-'1-输入参数'!$C$27*'1-输入参数'!$C$29)))/60/('1-输入参数'!$C$8*12))*'1-输入参数'!$C$10*12-('1-输入参数'!$C$7*(1-'1-输入参数'!$C$31)*'1-输入参数'!$C$11*12)-('2-现状基线'!$C$8*(('2-现状基线'!$C$4*(1-0.9)*('1-输入参数'!$C$16*(1-'1-输入参数'!$C$27*'1-输入参数'!$C$28)+'1-输入参数'!$C$17*(1-'1-输入参数'!$C$27*'1-输入参数'!$C$29)))/60/('1-输入参数'!$C$8*12))/'1-输入参数'!$C$6)-('2-现状基线'!$C$4*0.9*1.0)-'1-输入参数'!$C$35-'1-输入参数'!$C$37*'1-输入参数'!$C$38*12-'1-输入参数'!$C$39</f>
        <v/>
      </c>
    </row>
    <row r="13" ht="28" customHeight="1">
      <c r="A13" s="30" t="inlineStr">
        <is>
          <t>解读：绿色区域是你应该冲的目标；如果现实只能落在红色区域，说明项目 ROI 不成立，要么降投入、要么扩场景。</t>
        </is>
      </c>
    </row>
  </sheetData>
  <mergeCells count="2">
    <mergeCell ref="A13:H13"/>
    <mergeCell ref="A1:H1"/>
  </mergeCells>
  <conditionalFormatting sqref="B4:H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4" customWidth="1" min="4" max="4"/>
    <col width="30" customWidth="1" min="5" max="5"/>
    <col width="20" customWidth="1" min="6" max="6"/>
  </cols>
  <sheetData>
    <row r="1" ht="32" customHeight="1">
      <c r="A1" s="1" t="inlineStr">
        <is>
          <t>7. 汇报 Dashboard（一页纸）</t>
        </is>
      </c>
    </row>
    <row r="3" ht="26" customHeight="1">
      <c r="B3" s="2" t="inlineStr">
        <is>
          <t>—— 现状基线 ——</t>
        </is>
      </c>
      <c r="E3" s="2" t="inlineStr">
        <is>
          <t>—— Y3 改造后 ——</t>
        </is>
      </c>
    </row>
    <row r="4" ht="22" customHeight="1">
      <c r="B4" s="5" t="inlineStr">
        <is>
          <t>年会话量</t>
        </is>
      </c>
      <c r="C4" s="18">
        <f>'2-现状基线'!$C$4</f>
        <v/>
      </c>
      <c r="E4" s="5" t="inlineStr">
        <is>
          <t>AI 承接率</t>
        </is>
      </c>
      <c r="F4" s="22">
        <f>'1-输入参数'!$C$24</f>
        <v/>
      </c>
    </row>
    <row r="5" ht="22" customHeight="1">
      <c r="B5" s="5" t="inlineStr">
        <is>
          <t>坐席数</t>
        </is>
      </c>
      <c r="C5" s="18">
        <f>'1-输入参数'!$C$6</f>
        <v/>
      </c>
      <c r="E5" s="5" t="inlineStr">
        <is>
          <t>改造后总成本</t>
        </is>
      </c>
      <c r="F5" s="21">
        <f>'3-AI改造后测算'!D21</f>
        <v/>
      </c>
    </row>
    <row r="6" ht="22" customHeight="1">
      <c r="B6" s="5" t="inlineStr">
        <is>
          <t>年人工总成本</t>
        </is>
      </c>
      <c r="C6" s="19">
        <f>'2-现状基线'!$C$9</f>
        <v/>
      </c>
      <c r="E6" s="5" t="inlineStr">
        <is>
          <t>年度节省</t>
        </is>
      </c>
      <c r="F6" s="21">
        <f>'3-AI改造后测算'!D23</f>
        <v/>
      </c>
    </row>
    <row r="7" ht="22" customHeight="1">
      <c r="B7" s="5" t="inlineStr">
        <is>
          <t>单次会话成本</t>
        </is>
      </c>
      <c r="C7" s="16">
        <f>'2-现状基线'!$C$10</f>
        <v/>
      </c>
      <c r="E7" s="5" t="inlineStr">
        <is>
          <t>降本率</t>
        </is>
      </c>
      <c r="F7" s="22">
        <f>'3-AI改造后测算'!D24</f>
        <v/>
      </c>
    </row>
    <row r="8" ht="22" customHeight="1">
      <c r="B8" s="5" t="inlineStr">
        <is>
          <t>FCR</t>
        </is>
      </c>
      <c r="C8" s="17">
        <f>'1-输入参数'!$C$18</f>
        <v/>
      </c>
      <c r="E8" s="5" t="inlineStr">
        <is>
          <t>新单次会话成本</t>
        </is>
      </c>
      <c r="F8" s="31">
        <f>'3-AI改造后测算'!D25</f>
        <v/>
      </c>
    </row>
    <row r="9" ht="22" customHeight="1">
      <c r="B9" s="5" t="inlineStr">
        <is>
          <t>质检覆盖率</t>
        </is>
      </c>
      <c r="C9" s="17">
        <f>'1-输入参数'!$C$19</f>
        <v/>
      </c>
      <c r="E9" s="5" t="inlineStr">
        <is>
          <t>FCR</t>
        </is>
      </c>
      <c r="F9" s="22">
        <f>'1-输入参数'!$C$18+'1-输入参数'!$C$32</f>
        <v/>
      </c>
    </row>
    <row r="10" ht="22" customHeight="1">
      <c r="B10" s="5" t="inlineStr">
        <is>
          <t>CSAT</t>
        </is>
      </c>
      <c r="C10" s="17">
        <f>'1-输入参数'!$C$20</f>
        <v/>
      </c>
      <c r="E10" s="5" t="inlineStr">
        <is>
          <t>CSAT</t>
        </is>
      </c>
      <c r="F10" s="22">
        <f>'1-输入参数'!$C$20+'1-输入参数'!$C$42</f>
        <v/>
      </c>
    </row>
    <row r="13" ht="28" customHeight="1">
      <c r="B13" s="32" t="inlineStr">
        <is>
          <t>关键结论（Executive Summary）</t>
        </is>
      </c>
    </row>
    <row r="14" ht="24" customHeight="1">
      <c r="B14" s="20" t="inlineStr">
        <is>
          <t>1. 项目总投入</t>
        </is>
      </c>
      <c r="E14" s="21">
        <f>'1-输入参数'!$C$36</f>
        <v/>
      </c>
    </row>
    <row r="15" ht="24" customHeight="1">
      <c r="B15" s="20" t="inlineStr">
        <is>
          <t>2. 三年总节省</t>
        </is>
      </c>
      <c r="E15" s="21">
        <f>SUM('3-AI改造后测算'!B23,'3-AI改造后测算'!C23,'3-AI改造后测算'!D23)</f>
        <v/>
      </c>
    </row>
    <row r="16" ht="24" customHeight="1">
      <c r="B16" s="20" t="inlineStr">
        <is>
          <t>3. NPV</t>
        </is>
      </c>
      <c r="E16" s="21">
        <f>'5-三年现金流ROI'!E10</f>
        <v/>
      </c>
    </row>
    <row r="17" ht="24" customHeight="1">
      <c r="B17" s="20" t="inlineStr">
        <is>
          <t>4. IRR</t>
        </is>
      </c>
      <c r="E17" s="22">
        <f>IFERROR('5-三年现金流ROI'!B14,"N/A")</f>
        <v/>
      </c>
    </row>
    <row r="18" ht="24" customHeight="1">
      <c r="B18" s="20" t="inlineStr">
        <is>
          <t>5. 静态回收期（年）</t>
        </is>
      </c>
      <c r="E18" s="27">
        <f>'5-三年现金流ROI'!B15</f>
        <v/>
      </c>
    </row>
    <row r="19" ht="24" customHeight="1">
      <c r="B19" s="20" t="inlineStr">
        <is>
          <t>6. 单次成本降幅</t>
        </is>
      </c>
      <c r="E19" s="22">
        <f>1-'3-AI改造后测算'!D25/'2-现状基线'!$C$10</f>
        <v/>
      </c>
    </row>
  </sheetData>
  <mergeCells count="16">
    <mergeCell ref="B19:D19"/>
    <mergeCell ref="B14:D14"/>
    <mergeCell ref="E16:F16"/>
    <mergeCell ref="E15:F15"/>
    <mergeCell ref="B3:C3"/>
    <mergeCell ref="A1:F1"/>
    <mergeCell ref="E19:F19"/>
    <mergeCell ref="B16:D16"/>
    <mergeCell ref="B17:D17"/>
    <mergeCell ref="B18:D18"/>
    <mergeCell ref="E3:F3"/>
    <mergeCell ref="E14:F14"/>
    <mergeCell ref="B15:D15"/>
    <mergeCell ref="E17:F17"/>
    <mergeCell ref="E18:F18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2026-05-11T17:57:18Z</dcterms:created>
  <dcterms:modified xsi:type="dcterms:W3CDTF">2026-05-11T17:57:18Z</dcterms:modified>
</cp:coreProperties>
</file>